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E:\VBA\Advance Excel course\"/>
    </mc:Choice>
  </mc:AlternateContent>
  <xr:revisionPtr revIDLastSave="0" documentId="13_ncr:1_{2A08A6EB-76F7-4B5E-BA61-9F28012DDFB0}" xr6:coauthVersionLast="45" xr6:coauthVersionMax="45" xr10:uidLastSave="{00000000-0000-0000-0000-000000000000}"/>
  <bookViews>
    <workbookView xWindow="-120" yWindow="-120" windowWidth="20730" windowHeight="11160" activeTab="1" xr2:uid="{00000000-000D-0000-FFFF-FFFF00000000}"/>
  </bookViews>
  <sheets>
    <sheet name="Sheet1" sheetId="1" r:id="rId1"/>
    <sheet name="INFO" sheetId="2" r:id="rId2"/>
    <sheet name="OFFSET CODING" sheetId="3" r:id="rId3"/>
  </sheet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8" i="1" l="1"/>
  <c r="C7" i="1"/>
  <c r="C6" i="1"/>
  <c r="C4" i="1"/>
  <c r="C3" i="1"/>
  <c r="B9" i="1"/>
  <c r="C9" i="1" s="1"/>
  <c r="B5" i="1"/>
  <c r="C5" i="1" s="1"/>
</calcChain>
</file>

<file path=xl/sharedStrings.xml><?xml version="1.0" encoding="utf-8"?>
<sst xmlns="http://schemas.openxmlformats.org/spreadsheetml/2006/main" count="224" uniqueCount="190">
  <si>
    <t>OBJECT.METHOD</t>
  </si>
  <si>
    <t>OBJECT: FOR WHICH ACTIVITY WILL BE PERFORMED</t>
  </si>
  <si>
    <t>METHOD: THE ACTIVITY YOU ARE PERFORMING</t>
  </si>
  <si>
    <t>EXCEL</t>
  </si>
  <si>
    <t>VBA MACROS-SINGLE</t>
  </si>
  <si>
    <t>VBA MACROS-MULTIPLE</t>
  </si>
  <si>
    <t>CELL</t>
  </si>
  <si>
    <t>ROW</t>
  </si>
  <si>
    <t>COLUMN</t>
  </si>
  <si>
    <t>WORKSHEET</t>
  </si>
  <si>
    <t>WORKBOOK</t>
  </si>
  <si>
    <t>CELLS</t>
  </si>
  <si>
    <t>ROWS</t>
  </si>
  <si>
    <t>COLUMNS</t>
  </si>
  <si>
    <t>WORKSHEETS</t>
  </si>
  <si>
    <t>WORKBOOKS</t>
  </si>
  <si>
    <t>RANGE</t>
  </si>
  <si>
    <t>UNIVERSAL SET</t>
  </si>
  <si>
    <t>ACTIVECELL</t>
  </si>
  <si>
    <t>SELECTION</t>
  </si>
  <si>
    <t>SINGLE CELL WHICH IS SELECTED</t>
  </si>
  <si>
    <t>MORE THEN SINGLE CELL WHICH ARE SELECTED</t>
  </si>
  <si>
    <t>METHOD</t>
  </si>
  <si>
    <t>SELECT</t>
  </si>
  <si>
    <t>ACTIVATE</t>
  </si>
  <si>
    <t>VALUE</t>
  </si>
  <si>
    <t>COPY</t>
  </si>
  <si>
    <t>PASTESPECIAL</t>
  </si>
  <si>
    <t>FORMULA</t>
  </si>
  <si>
    <t>MOST IMPORTANTLY USED</t>
  </si>
  <si>
    <t>CELL REFERENCE WILL BE MAINTAINED AS TEXT</t>
  </si>
  <si>
    <t>SALES</t>
  </si>
  <si>
    <t>COGS</t>
  </si>
  <si>
    <t>GROSS PROFIT</t>
  </si>
  <si>
    <t>OFFICE EXP.</t>
  </si>
  <si>
    <t>ADMIN EXP.</t>
  </si>
  <si>
    <t>OTHERS</t>
  </si>
  <si>
    <t>NET PROFIT</t>
  </si>
  <si>
    <t>: "B3"</t>
  </si>
  <si>
    <t>NOT AS B3</t>
  </si>
  <si>
    <t>IN SIMPLE WORDS</t>
  </si>
  <si>
    <t>OBJECT: KANHA ACTION PERFORM KERNA CHAHTE HO OR ON WHICH CELL</t>
  </si>
  <si>
    <t>METHOD: KYA PERFORM KERNA HAI (FORMULA, "TEXT",PASTE ETC.)</t>
  </si>
  <si>
    <t>Sub WRITINGINCST()</t>
  </si>
  <si>
    <t>Range("A3").Select</t>
  </si>
  <si>
    <t>Range("A3").Value = "SALES"</t>
  </si>
  <si>
    <t>Range("A4").Select</t>
  </si>
  <si>
    <t>Range("A4").Value = "COGS"</t>
  </si>
  <si>
    <t>Range("A5").Select</t>
  </si>
  <si>
    <t>Range("A5").Value = "GROSS PROFIT"</t>
  </si>
  <si>
    <t>Range("A6").Select</t>
  </si>
  <si>
    <t>Range("A6").Value = "ADMIN EXP."</t>
  </si>
  <si>
    <t>Range("A7").Select</t>
  </si>
  <si>
    <t>Range("A7").Value = "OFF EXP."</t>
  </si>
  <si>
    <t>Range("A8").Select</t>
  </si>
  <si>
    <t>Range("A8").Value = "OTHERS"</t>
  </si>
  <si>
    <t>Range("A9").Select</t>
  </si>
  <si>
    <t>Range("A9").Value = "NET PROFIT"</t>
  </si>
  <si>
    <t>Range("B2").Select</t>
  </si>
  <si>
    <t>Range("B2").Value = 2015</t>
  </si>
  <si>
    <t>Range("B3").Select</t>
  </si>
  <si>
    <t>Range("B3").Value = 50000</t>
  </si>
  <si>
    <t>Range("B4").Select</t>
  </si>
  <si>
    <t>Range("B4").Value = 20000</t>
  </si>
  <si>
    <t>Range("B5").Select</t>
  </si>
  <si>
    <t>Range("B5").Value = Range("B3").Value - Range("B4").Value</t>
  </si>
  <si>
    <t>Range("B6").Select</t>
  </si>
  <si>
    <t>Range("B6").Value = 5000</t>
  </si>
  <si>
    <t>Range("B7").Select</t>
  </si>
  <si>
    <t>Range("B7").Value = 2000</t>
  </si>
  <si>
    <t>Range("B8").Select</t>
  </si>
  <si>
    <t>Range("B8").Value = 3000</t>
  </si>
  <si>
    <t>Range("B9").Select</t>
  </si>
  <si>
    <t>Range("B9").Value = Range("B5").Value - Range("B6").Value - Range("B7").Value - Range("B8").Value</t>
  </si>
  <si>
    <t>End Sub</t>
  </si>
  <si>
    <t>Sub WRITINGSALESRR()</t>
  </si>
  <si>
    <t>ActiveCell.Value = "SALES"</t>
  </si>
  <si>
    <t>ActiveCell.Offset(1, 0).Select</t>
  </si>
  <si>
    <t>ActiveCell.Value = "COGS"</t>
  </si>
  <si>
    <t>ActiveCell.Value = "GROSS PROFIT"</t>
  </si>
  <si>
    <t>ActiveCell.Value = "ADMIN EXP."</t>
  </si>
  <si>
    <t>ActiveCell.Value = "OFFICE EXP."</t>
  </si>
  <si>
    <t>ActiveCell.Value = "NET PROFIT"</t>
  </si>
  <si>
    <t>ActiveCell.Offset(-6, 1).Select</t>
  </si>
  <si>
    <t>ActiveCell.Value = "2015"</t>
  </si>
  <si>
    <t>ActiveCell.Value = "50000"</t>
  </si>
  <si>
    <t>ActiveCell.Value = "20000"</t>
  </si>
  <si>
    <t>ActiveCell.Value = ActiveCell.Offset(-2, 0).Value - ActiveCell.Offset(-1, 0).Value</t>
  </si>
  <si>
    <t>ActiveCell.Value = "3000"</t>
  </si>
  <si>
    <t>ActiveCell.Value = "2000"</t>
  </si>
  <si>
    <t>ActiveCell.Value = ActiveCell.Offset(-3, 0) - ActiveCell.Offset(-2, 0) - ActiveCell.Offset(-1, 0)</t>
  </si>
  <si>
    <t>ActiveCell.Offset.Value = 2016</t>
  </si>
  <si>
    <t>ActiveCell.Value = ActiveCell.Offset(0, -1) + ActiveCell.Offset(0, -1) * 0.1</t>
  </si>
  <si>
    <t>Columns.AutoFit</t>
  </si>
  <si>
    <t>OFFSET IS PART OBJECT: EX: ACTIVECELL.OFFSET(1,0).SELECT</t>
  </si>
  <si>
    <t>MESSAGE BOX: IT'S A REMINDER ONLY. "SALES VALUE SHOULD BE MORE THAN 50000</t>
  </si>
  <si>
    <t>INPUT BOX: WHEN YOU ACTIVATE THE CELL ASK FOR VALUE. "ENTER ADMIN EXP"</t>
  </si>
  <si>
    <t>VERY IMP IN CODING</t>
  </si>
  <si>
    <t>Msgbox</t>
  </si>
  <si>
    <t>Inputbox</t>
  </si>
  <si>
    <t>MsgBox ("Office Exp. should not be more than 10000")</t>
  </si>
  <si>
    <t>ActiveCell.Value = InputBox("Enter Office Exp.")</t>
  </si>
  <si>
    <t>FOR EX.</t>
  </si>
  <si>
    <t>DIRECTION</t>
  </si>
  <si>
    <t>XLUP</t>
  </si>
  <si>
    <t>XLDOWN</t>
  </si>
  <si>
    <t>XLTORIGHT</t>
  </si>
  <si>
    <t>XLTOLEFT</t>
  </si>
  <si>
    <t>SAVE                                                                   :     Workbooks("CONSOL.XLSM").Save</t>
  </si>
  <si>
    <t>OPEN WORKBOOK                                          :     Workbooks.Open "C:\Users\Dell\Desktop\Manish Data\JAN.XLSX"</t>
  </si>
  <si>
    <t>THIS YOU HAVE TO PROVIDE MANUALLY: "NAME OF FILE".</t>
  </si>
  <si>
    <t>THIS YOU WILL GET FROM PROPERTIES OF FILE</t>
  </si>
  <si>
    <t>TO REMOVE  POPUP'S LIKE "SAVE"           :      Application.DisplayAlerts = False</t>
  </si>
  <si>
    <t>NUMBER</t>
  </si>
  <si>
    <t>TEXT</t>
  </si>
  <si>
    <t>DATA TYPE</t>
  </si>
  <si>
    <t>INTEGER</t>
  </si>
  <si>
    <t>SPACE</t>
  </si>
  <si>
    <t>2 BYTES</t>
  </si>
  <si>
    <t>LESS THEN -32767 OR GRTR THAN 32767</t>
  </si>
  <si>
    <t>LONG</t>
  </si>
  <si>
    <t>4 BYTES</t>
  </si>
  <si>
    <t>DECIMAL NUMBER</t>
  </si>
  <si>
    <t>DOUBLE</t>
  </si>
  <si>
    <t>8 BYTES</t>
  </si>
  <si>
    <t>FOR TEXT</t>
  </si>
  <si>
    <t>STRING</t>
  </si>
  <si>
    <t>IF DATA TYPE IS NOT DECLARED THEN IT WILL BE "VARIENT"</t>
  </si>
  <si>
    <t>"VARIENT WILL TAKE THE SPACE OF 16 BYTES"</t>
  </si>
  <si>
    <t>PUBLIC= WITH THIS WE CAN USE THIS IN ALL MODULES</t>
  </si>
  <si>
    <t>FOR EX: PUBLIC X AS STRING</t>
  </si>
  <si>
    <t>PUBLIC VAL1 AS LONG</t>
  </si>
  <si>
    <t>PUBLIC VAL1 AS INTEGER</t>
  </si>
  <si>
    <t>OR</t>
  </si>
  <si>
    <t>FOR EX: DIM X AS STRING</t>
  </si>
  <si>
    <t>DIM VAL1 AS LONG</t>
  </si>
  <si>
    <t>DIM VAL1 AS INTEGER</t>
  </si>
  <si>
    <t>DIM= DIMENSION (DIM IS USED IN SINGLE MODULE).</t>
  </si>
  <si>
    <t>DATA TYPE IN VBA MACROS: IT IS USED TO SAVE SPACE</t>
  </si>
  <si>
    <t>LOOP: IT HELP IN PERFORMING TASK MULTIPLE TIME</t>
  </si>
  <si>
    <t>DO</t>
  </si>
  <si>
    <t>FOR</t>
  </si>
  <si>
    <t>DO UNTIL-LOOP</t>
  </si>
  <si>
    <t>DO WHILE-LOOP</t>
  </si>
  <si>
    <t>FOR-NEXT</t>
  </si>
  <si>
    <t>FOR EACH-NEXT</t>
  </si>
  <si>
    <t>WILL PERFORM THE ACTIVITY TILL CONDITION IS NOT SATISFIED</t>
  </si>
  <si>
    <t>DO UNTIL-LOOP:</t>
  </si>
  <si>
    <t>DO - LOOP: MEANS START WITH DO AND END WITH LOOP</t>
  </si>
  <si>
    <t xml:space="preserve">IF CONDITION: </t>
  </si>
  <si>
    <t>If ActiveCell.Offset(0, -1).Value &gt;= 50 Then</t>
  </si>
  <si>
    <t>ActiveCell.Value = "PASS"</t>
  </si>
  <si>
    <t>Else</t>
  </si>
  <si>
    <t>ActiveCell.Value = "FAIL"</t>
  </si>
  <si>
    <t>End If</t>
  </si>
  <si>
    <t>DO-LOOPC(THIS NOT USEFUL)</t>
  </si>
  <si>
    <t>WILL PERFORM THE ACTIVITY WHILE CONDITION IS SATISFIED</t>
  </si>
  <si>
    <t>FOR-NEXT(KYA KERNA HAI OR KITNI BAR)</t>
  </si>
  <si>
    <t>WILL PERFORM THE ACTIVITY FOR FIXED NUMBER OF STEPS</t>
  </si>
  <si>
    <t>COLOUR</t>
  </si>
  <si>
    <t>INTERIOR.COLOR=VBYELLOW</t>
  </si>
  <si>
    <t>If ActiveCell.Offset(0, -1) &gt; 90 Then</t>
  </si>
  <si>
    <t>ActiveCell.Value = "A"</t>
  </si>
  <si>
    <t>ActiveCell.Offset(0, 1).Interior.Color = vbGreen</t>
  </si>
  <si>
    <t>If ActiveCell.Offset(0, -1) &gt; 80 Then</t>
  </si>
  <si>
    <t>ActiveCell.Value = "B"</t>
  </si>
  <si>
    <t>ActiveCell.Offset(0, 1).Interior.Color = vbORANGE</t>
  </si>
  <si>
    <t>ENDIF ( AS MANY TIMES AS IF IS OPEN)</t>
  </si>
  <si>
    <t>NESTED IF</t>
  </si>
  <si>
    <t>IN BETWEEN -32767 TO +32767</t>
  </si>
  <si>
    <t>WILL PERFORM THE ACTIVITY FOR A GROUP OF OBJECT</t>
  </si>
  <si>
    <t>FORMULATION</t>
  </si>
  <si>
    <t>CONDITION OF FORMULA'S</t>
  </si>
  <si>
    <t>1) IT SHOULD ALWAYS WRITTEN IN R[1]C[1] FORM</t>
  </si>
  <si>
    <t xml:space="preserve">2) IT SHOULD ALWAYS START : ACTIVECELL.FORMULA= "=VLOOKUP(R[1]C[0],R13C1:R19C3,MATCH(R13C[0],R13C1:R13C3,0),0)"
</t>
  </si>
  <si>
    <t>ALWAYS USE THIS WORKSHEET IN EVENTS</t>
  </si>
  <si>
    <t>YOU WILL FIND IT IN DEVELOPER TAB- THIS WORSHEET - CHANGE GERENAL TO WORKSHEET - WITH THE HELP OF THIS YOU CAN AUTOMATE THE THINGS WHEN THIS SITUATION OCCUR LIKE WHEN THE FILE OPEN "HI" DIALOG BOX WILL SHOW US. SO YOU CAN CREATE THE DATA AS PER ACCORANCE</t>
  </si>
  <si>
    <t>EVENT: USE FOR AUTOMATION ACCORDING TO EVENTS</t>
  </si>
  <si>
    <t>ADD IN</t>
  </si>
  <si>
    <t>means if you want to ADD ANY FORMULA TO ALL WORKBOOKS IN THE LAPTOP then do these steps and u can ADDIN the formula</t>
  </si>
  <si>
    <t>1) COPY THE CODE</t>
  </si>
  <si>
    <t>2) INTRODUCE A NEW EXCEL WORK BOOK (ANY WHERE)</t>
  </si>
  <si>
    <t>3) *** INTRODUCE A NEW MODULE IN "NEW EXCEL WORKBOOK". (ALWAYS REMEMBER **NEW EXCEL WORKBOOK**)</t>
  </si>
  <si>
    <t>4) PATE THE CODE</t>
  </si>
  <si>
    <t>5) FILE - SAVE AS - MENTION THE NAME - SELECT THE LOCATION AS PER REQUIRMENT -EXCEL ADDIN - SAVE</t>
  </si>
  <si>
    <t>ATTACHMENT</t>
  </si>
  <si>
    <t>OPEN ANY OF THE EXCEL WORKBOOK</t>
  </si>
  <si>
    <t>FILE - EXCEL OPTION - ADDIN - MANAGE -EXCEL ADDIN - GO</t>
  </si>
  <si>
    <t>BROWSE - SELECT THAT ADD IN - TICK[ ] THE BOX - OK</t>
  </si>
  <si>
    <t xml:space="preserve">DONE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</si>
</sst>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font>
    <font>
      <b/>
      <sz val="11"/>
      <color theme="1"/>
      <name val="Calibri"/>
      <family val="2"/>
      <scheme val="minor"/>
    </font>
    <font>
      <sz val="18"/>
      <color theme="1"/>
      <name val="Calibri"/>
      <family val="2"/>
      <scheme val="minor"/>
    </font>
    <font>
      <b/>
      <sz val="14"/>
      <color theme="1"/>
      <name val="Calibri"/>
      <family val="2"/>
      <scheme val="minor"/>
    </font>
    <font>
      <b/>
      <sz val="15"/>
      <color theme="1"/>
      <name val="Calibri"/>
      <family val="2"/>
      <scheme val="minor"/>
    </font>
    <font>
      <b/>
      <i/>
      <u/>
      <sz val="11"/>
      <color theme="1"/>
      <name val="Calibri"/>
      <family val="2"/>
      <scheme val="minor"/>
    </font>
    <font>
      <i/>
      <u/>
      <sz val="11"/>
      <color theme="1"/>
      <name val="Calibri"/>
      <family val="2"/>
      <scheme val="minor"/>
    </font>
    <font>
      <b/>
      <sz val="8"/>
      <color theme="1"/>
      <name val="Calibri"/>
      <family val="2"/>
      <scheme val="minor"/>
    </font>
    <font>
      <sz val="11"/>
      <color rgb="FFFF0000"/>
      <name val="Calibri"/>
      <family val="2"/>
      <scheme val="minor"/>
    </font>
    <font>
      <sz val="15"/>
      <color theme="1"/>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92D050"/>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0" tint="-4.9989318521683403E-2"/>
        <bgColor indexed="64"/>
      </patternFill>
    </fill>
    <fill>
      <patternFill patternType="solid">
        <fgColor theme="0"/>
        <bgColor indexed="64"/>
      </patternFill>
    </fill>
    <fill>
      <patternFill patternType="solid">
        <fgColor theme="7" tint="0.79998168889431442"/>
        <bgColor indexed="64"/>
      </patternFill>
    </fill>
    <fill>
      <patternFill patternType="solid">
        <fgColor rgb="FF00B05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4">
    <xf numFmtId="0" fontId="0" fillId="0" borderId="0" xfId="0"/>
    <xf numFmtId="0" fontId="0" fillId="2" borderId="0" xfId="0" applyFill="1"/>
    <xf numFmtId="0" fontId="2" fillId="0" borderId="0" xfId="0" applyFont="1"/>
    <xf numFmtId="0" fontId="3" fillId="2" borderId="0" xfId="0" applyFont="1" applyFill="1"/>
    <xf numFmtId="0" fontId="4" fillId="3" borderId="0" xfId="0" applyFont="1" applyFill="1"/>
    <xf numFmtId="0" fontId="4" fillId="4" borderId="0" xfId="0" applyFont="1" applyFill="1"/>
    <xf numFmtId="0" fontId="2" fillId="5" borderId="0" xfId="0" applyFont="1" applyFill="1"/>
    <xf numFmtId="0" fontId="2" fillId="6" borderId="1" xfId="0" applyFont="1" applyFill="1" applyBorder="1"/>
    <xf numFmtId="0" fontId="0" fillId="0" borderId="1" xfId="0" applyBorder="1"/>
    <xf numFmtId="0" fontId="2" fillId="5" borderId="1" xfId="0" applyFont="1" applyFill="1" applyBorder="1"/>
    <xf numFmtId="0" fontId="2" fillId="2" borderId="0" xfId="0" applyFont="1" applyFill="1"/>
    <xf numFmtId="0" fontId="5" fillId="0" borderId="0" xfId="0" applyFont="1"/>
    <xf numFmtId="0" fontId="6" fillId="7" borderId="0" xfId="0" applyFont="1" applyFill="1"/>
    <xf numFmtId="0" fontId="7" fillId="7" borderId="0" xfId="0" applyFont="1" applyFill="1"/>
    <xf numFmtId="0" fontId="4" fillId="8" borderId="0" xfId="0" applyFont="1" applyFill="1"/>
    <xf numFmtId="0" fontId="0" fillId="8" borderId="0" xfId="0" applyFill="1"/>
    <xf numFmtId="0" fontId="4" fillId="9" borderId="0" xfId="0" applyFont="1" applyFill="1"/>
    <xf numFmtId="0" fontId="0" fillId="9" borderId="0" xfId="0" applyFill="1"/>
    <xf numFmtId="0" fontId="4" fillId="10" borderId="0" xfId="0" applyFont="1" applyFill="1"/>
    <xf numFmtId="0" fontId="8" fillId="2" borderId="0" xfId="0" applyFont="1" applyFill="1"/>
    <xf numFmtId="0" fontId="2" fillId="5" borderId="0" xfId="0" applyFont="1" applyFill="1" applyAlignment="1">
      <alignment vertical="top"/>
    </xf>
    <xf numFmtId="0" fontId="0" fillId="5" borderId="0" xfId="0" applyFill="1"/>
    <xf numFmtId="0" fontId="2" fillId="11" borderId="0" xfId="0" applyFont="1" applyFill="1"/>
    <xf numFmtId="0" fontId="2" fillId="4" borderId="0" xfId="0" applyFont="1" applyFill="1"/>
    <xf numFmtId="0" fontId="5" fillId="2" borderId="0" xfId="0" applyFont="1" applyFill="1"/>
    <xf numFmtId="0" fontId="10" fillId="2" borderId="0" xfId="0" applyFont="1" applyFill="1"/>
    <xf numFmtId="0" fontId="0" fillId="6" borderId="0" xfId="0" applyFill="1"/>
    <xf numFmtId="0" fontId="9" fillId="0" borderId="0" xfId="0" applyFont="1"/>
    <xf numFmtId="0" fontId="2" fillId="6" borderId="0" xfId="0" applyFont="1" applyFill="1"/>
    <xf numFmtId="0" fontId="2" fillId="12" borderId="0" xfId="0" applyFont="1" applyFill="1"/>
    <xf numFmtId="0" fontId="0" fillId="12" borderId="0" xfId="0" applyFill="1"/>
    <xf numFmtId="0" fontId="0" fillId="0" borderId="0" xfId="0" applyAlignment="1"/>
    <xf numFmtId="0" fontId="2" fillId="0" borderId="0" xfId="0" applyFont="1" applyAlignment="1"/>
    <xf numFmtId="0" fontId="2" fillId="12" borderId="0" xfId="0" applyFont="1" applyFill="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323850</xdr:colOff>
          <xdr:row>1</xdr:row>
          <xdr:rowOff>28575</xdr:rowOff>
        </xdr:from>
        <xdr:to>
          <xdr:col>8</xdr:col>
          <xdr:colOff>571500</xdr:colOff>
          <xdr:row>3</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cs typeface="Calibri"/>
                </a:rPr>
                <a:t>RUN MCRO</a:t>
              </a:r>
            </a:p>
          </xdr:txBody>
        </xdr:sp>
        <xdr:clientData fPrintsWithSheet="0"/>
      </xdr:twoCellAnchor>
    </mc:Choice>
    <mc:Fallback/>
  </mc:AlternateContent>
  <xdr:twoCellAnchor>
    <xdr:from>
      <xdr:col>10</xdr:col>
      <xdr:colOff>600075</xdr:colOff>
      <xdr:row>1</xdr:row>
      <xdr:rowOff>66675</xdr:rowOff>
    </xdr:from>
    <xdr:to>
      <xdr:col>13</xdr:col>
      <xdr:colOff>19050</xdr:colOff>
      <xdr:row>7</xdr:row>
      <xdr:rowOff>0</xdr:rowOff>
    </xdr:to>
    <xdr:sp macro="[0]!MCRRR" textlink="">
      <xdr:nvSpPr>
        <xdr:cNvPr id="2" name="Smiley Face 1">
          <a:extLst>
            <a:ext uri="{FF2B5EF4-FFF2-40B4-BE49-F238E27FC236}">
              <a16:creationId xmlns:a16="http://schemas.microsoft.com/office/drawing/2014/main" id="{00000000-0008-0000-0000-000002000000}"/>
            </a:ext>
          </a:extLst>
        </xdr:cNvPr>
        <xdr:cNvSpPr/>
      </xdr:nvSpPr>
      <xdr:spPr>
        <a:xfrm>
          <a:off x="7305675" y="257175"/>
          <a:ext cx="1247775" cy="1076325"/>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RUN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11</xdr:row>
      <xdr:rowOff>103187</xdr:rowOff>
    </xdr:from>
    <xdr:to>
      <xdr:col>10</xdr:col>
      <xdr:colOff>7938</xdr:colOff>
      <xdr:row>11</xdr:row>
      <xdr:rowOff>103187</xdr:rowOff>
    </xdr:to>
    <xdr:cxnSp macro="">
      <xdr:nvCxnSpPr>
        <xdr:cNvPr id="3" name="Straight Connector 2">
          <a:extLst>
            <a:ext uri="{FF2B5EF4-FFF2-40B4-BE49-F238E27FC236}">
              <a16:creationId xmlns:a16="http://schemas.microsoft.com/office/drawing/2014/main" id="{00000000-0008-0000-0100-000003000000}"/>
            </a:ext>
          </a:extLst>
        </xdr:cNvPr>
        <xdr:cNvCxnSpPr/>
      </xdr:nvCxnSpPr>
      <xdr:spPr>
        <a:xfrm>
          <a:off x="2246313" y="2397125"/>
          <a:ext cx="5937250" cy="0"/>
        </a:xfrm>
        <a:prstGeom prst="line">
          <a:avLst/>
        </a:prstGeom>
        <a:ln w="254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579438</xdr:colOff>
      <xdr:row>22</xdr:row>
      <xdr:rowOff>7937</xdr:rowOff>
    </xdr:from>
    <xdr:to>
      <xdr:col>3</xdr:col>
      <xdr:colOff>587375</xdr:colOff>
      <xdr:row>23</xdr:row>
      <xdr:rowOff>142875</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a:off x="4929188" y="2492375"/>
          <a:ext cx="7937" cy="325438"/>
        </a:xfrm>
        <a:prstGeom prst="straightConnector1">
          <a:avLst/>
        </a:prstGeom>
        <a:ln w="31750">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503239</xdr:colOff>
      <xdr:row>31</xdr:row>
      <xdr:rowOff>111125</xdr:rowOff>
    </xdr:from>
    <xdr:to>
      <xdr:col>4</xdr:col>
      <xdr:colOff>354013</xdr:colOff>
      <xdr:row>33</xdr:row>
      <xdr:rowOff>31750</xdr:rowOff>
    </xdr:to>
    <xdr:sp macro="" textlink="">
      <xdr:nvSpPr>
        <xdr:cNvPr id="2" name="Left Brace 1">
          <a:extLst>
            <a:ext uri="{FF2B5EF4-FFF2-40B4-BE49-F238E27FC236}">
              <a16:creationId xmlns:a16="http://schemas.microsoft.com/office/drawing/2014/main" id="{00000000-0008-0000-0100-000002000000}"/>
            </a:ext>
          </a:extLst>
        </xdr:cNvPr>
        <xdr:cNvSpPr/>
      </xdr:nvSpPr>
      <xdr:spPr>
        <a:xfrm rot="5400000">
          <a:off x="5964238" y="6223001"/>
          <a:ext cx="301625" cy="460374"/>
        </a:xfrm>
        <a:prstGeom prst="leftBrace">
          <a:avLst/>
        </a:prstGeom>
        <a:ln w="2540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2491585</xdr:colOff>
      <xdr:row>33</xdr:row>
      <xdr:rowOff>173037</xdr:rowOff>
    </xdr:from>
    <xdr:to>
      <xdr:col>3</xdr:col>
      <xdr:colOff>465138</xdr:colOff>
      <xdr:row>35</xdr:row>
      <xdr:rowOff>34130</xdr:rowOff>
    </xdr:to>
    <xdr:sp macro="" textlink="">
      <xdr:nvSpPr>
        <xdr:cNvPr id="4" name="Left Brace 3">
          <a:extLst>
            <a:ext uri="{FF2B5EF4-FFF2-40B4-BE49-F238E27FC236}">
              <a16:creationId xmlns:a16="http://schemas.microsoft.com/office/drawing/2014/main" id="{00000000-0008-0000-0100-000004000000}"/>
            </a:ext>
          </a:extLst>
        </xdr:cNvPr>
        <xdr:cNvSpPr/>
      </xdr:nvSpPr>
      <xdr:spPr>
        <a:xfrm rot="16200000">
          <a:off x="4048127" y="5188745"/>
          <a:ext cx="242093" cy="3355178"/>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0</xdr:col>
      <xdr:colOff>571500</xdr:colOff>
      <xdr:row>93</xdr:row>
      <xdr:rowOff>7937</xdr:rowOff>
    </xdr:from>
    <xdr:to>
      <xdr:col>0</xdr:col>
      <xdr:colOff>571500</xdr:colOff>
      <xdr:row>93</xdr:row>
      <xdr:rowOff>174625</xdr:rowOff>
    </xdr:to>
    <xdr:cxnSp macro="">
      <xdr:nvCxnSpPr>
        <xdr:cNvPr id="7" name="Straight Arrow Connector 6">
          <a:extLst>
            <a:ext uri="{FF2B5EF4-FFF2-40B4-BE49-F238E27FC236}">
              <a16:creationId xmlns:a16="http://schemas.microsoft.com/office/drawing/2014/main" id="{00000000-0008-0000-0100-000007000000}"/>
            </a:ext>
          </a:extLst>
        </xdr:cNvPr>
        <xdr:cNvCxnSpPr/>
      </xdr:nvCxnSpPr>
      <xdr:spPr>
        <a:xfrm>
          <a:off x="571500" y="18065750"/>
          <a:ext cx="0" cy="166688"/>
        </a:xfrm>
        <a:prstGeom prst="straightConnector1">
          <a:avLst/>
        </a:prstGeom>
        <a:ln w="34925">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C9"/>
  <sheetViews>
    <sheetView workbookViewId="0">
      <selection activeCell="A2" sqref="A2"/>
    </sheetView>
  </sheetViews>
  <sheetFormatPr defaultRowHeight="15" x14ac:dyDescent="0.25"/>
  <cols>
    <col min="1" max="2" width="13.7109375" bestFit="1" customWidth="1"/>
    <col min="6" max="6" width="13.7109375" bestFit="1" customWidth="1"/>
    <col min="8" max="10" width="13.7109375" bestFit="1" customWidth="1"/>
    <col min="16" max="16" width="13.7109375" bestFit="1" customWidth="1"/>
  </cols>
  <sheetData>
    <row r="2" spans="1:3" x14ac:dyDescent="0.25">
      <c r="B2">
        <v>2017</v>
      </c>
      <c r="C2">
        <v>2018</v>
      </c>
    </row>
    <row r="3" spans="1:3" x14ac:dyDescent="0.25">
      <c r="A3" t="s">
        <v>31</v>
      </c>
      <c r="B3">
        <v>50000</v>
      </c>
      <c r="C3">
        <f>B3+B3*10%</f>
        <v>55000</v>
      </c>
    </row>
    <row r="4" spans="1:3" x14ac:dyDescent="0.25">
      <c r="A4" t="s">
        <v>32</v>
      </c>
      <c r="B4">
        <v>20000</v>
      </c>
      <c r="C4">
        <f t="shared" ref="C4:C9" si="0">B4+B4*10%</f>
        <v>22000</v>
      </c>
    </row>
    <row r="5" spans="1:3" x14ac:dyDescent="0.25">
      <c r="A5" t="s">
        <v>33</v>
      </c>
      <c r="B5">
        <f>B3-B4</f>
        <v>30000</v>
      </c>
      <c r="C5">
        <f t="shared" si="0"/>
        <v>33000</v>
      </c>
    </row>
    <row r="6" spans="1:3" x14ac:dyDescent="0.25">
      <c r="A6" t="s">
        <v>34</v>
      </c>
      <c r="B6">
        <v>5000</v>
      </c>
      <c r="C6">
        <f t="shared" si="0"/>
        <v>5500</v>
      </c>
    </row>
    <row r="7" spans="1:3" x14ac:dyDescent="0.25">
      <c r="A7" t="s">
        <v>35</v>
      </c>
      <c r="B7">
        <v>3000</v>
      </c>
      <c r="C7">
        <f t="shared" si="0"/>
        <v>3300</v>
      </c>
    </row>
    <row r="8" spans="1:3" x14ac:dyDescent="0.25">
      <c r="A8" t="s">
        <v>36</v>
      </c>
      <c r="B8">
        <v>2000</v>
      </c>
      <c r="C8">
        <f t="shared" si="0"/>
        <v>2200</v>
      </c>
    </row>
    <row r="9" spans="1:3" x14ac:dyDescent="0.25">
      <c r="A9" t="s">
        <v>37</v>
      </c>
      <c r="B9">
        <f>B5-B6-B7-B8</f>
        <v>20000</v>
      </c>
      <c r="C9">
        <f t="shared" si="0"/>
        <v>22000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CRRR">
                <anchor moveWithCells="1" sizeWithCells="1">
                  <from>
                    <xdr:col>7</xdr:col>
                    <xdr:colOff>323850</xdr:colOff>
                    <xdr:row>1</xdr:row>
                    <xdr:rowOff>28575</xdr:rowOff>
                  </from>
                  <to>
                    <xdr:col>8</xdr:col>
                    <xdr:colOff>571500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105"/>
  <sheetViews>
    <sheetView tabSelected="1" topLeftCell="A25" zoomScaleNormal="100" workbookViewId="0">
      <selection activeCell="F34" sqref="F34"/>
    </sheetView>
  </sheetViews>
  <sheetFormatPr defaultRowHeight="15" x14ac:dyDescent="0.25"/>
  <cols>
    <col min="1" max="1" width="38.28515625" customWidth="1"/>
    <col min="2" max="2" width="20" bestFit="1" customWidth="1"/>
    <col min="3" max="3" width="22.42578125" bestFit="1" customWidth="1"/>
    <col min="5" max="5" width="11.5703125" bestFit="1" customWidth="1"/>
  </cols>
  <sheetData>
    <row r="1" spans="1:14" ht="23.25" x14ac:dyDescent="0.35">
      <c r="A1" s="3" t="s">
        <v>0</v>
      </c>
      <c r="B1" s="3"/>
      <c r="C1" s="1"/>
    </row>
    <row r="2" spans="1:14" x14ac:dyDescent="0.25">
      <c r="E2" s="12" t="s">
        <v>40</v>
      </c>
      <c r="F2" s="13"/>
    </row>
    <row r="3" spans="1:14" ht="18.75" x14ac:dyDescent="0.3">
      <c r="A3" s="4" t="s">
        <v>1</v>
      </c>
      <c r="B3" s="4"/>
      <c r="C3" s="4"/>
      <c r="D3" s="18"/>
      <c r="E3" s="16" t="s">
        <v>41</v>
      </c>
      <c r="F3" s="16"/>
      <c r="G3" s="16"/>
      <c r="H3" s="17"/>
      <c r="I3" s="17"/>
      <c r="J3" s="17"/>
      <c r="K3" s="17"/>
      <c r="L3" s="17"/>
      <c r="M3" s="17"/>
    </row>
    <row r="4" spans="1:14" ht="18.75" x14ac:dyDescent="0.3">
      <c r="A4" s="5" t="s">
        <v>2</v>
      </c>
      <c r="B4" s="5"/>
      <c r="C4" s="5"/>
      <c r="D4" s="18"/>
      <c r="E4" s="14" t="s">
        <v>42</v>
      </c>
      <c r="F4" s="14"/>
      <c r="G4" s="14"/>
      <c r="H4" s="15"/>
      <c r="I4" s="15"/>
      <c r="J4" s="15"/>
      <c r="K4" s="15"/>
      <c r="L4" s="15"/>
      <c r="M4" s="15"/>
    </row>
    <row r="5" spans="1:14" x14ac:dyDescent="0.25">
      <c r="C5" s="7" t="s">
        <v>17</v>
      </c>
      <c r="D5" s="8"/>
      <c r="E5" s="8"/>
      <c r="F5" s="8"/>
      <c r="G5" s="8"/>
      <c r="H5" s="8"/>
      <c r="I5" s="8"/>
      <c r="J5" s="8"/>
    </row>
    <row r="6" spans="1:14" x14ac:dyDescent="0.25">
      <c r="A6" s="6" t="s">
        <v>3</v>
      </c>
      <c r="B6" s="6" t="s">
        <v>4</v>
      </c>
      <c r="C6" s="9" t="s">
        <v>5</v>
      </c>
      <c r="D6" s="8"/>
      <c r="E6" s="8"/>
      <c r="F6" s="8"/>
      <c r="G6" s="8"/>
      <c r="H6" s="8"/>
      <c r="I6" s="8"/>
      <c r="J6" s="8"/>
    </row>
    <row r="7" spans="1:14" x14ac:dyDescent="0.25">
      <c r="A7" t="s">
        <v>6</v>
      </c>
      <c r="B7" t="s">
        <v>11</v>
      </c>
      <c r="C7" s="8" t="s">
        <v>16</v>
      </c>
      <c r="D7" s="8"/>
      <c r="E7" s="7" t="s">
        <v>18</v>
      </c>
      <c r="F7" s="8" t="s">
        <v>20</v>
      </c>
      <c r="G7" s="8"/>
      <c r="H7" s="8"/>
      <c r="I7" s="8"/>
      <c r="J7" s="8"/>
    </row>
    <row r="8" spans="1:14" x14ac:dyDescent="0.25">
      <c r="A8" t="s">
        <v>7</v>
      </c>
      <c r="B8" t="s">
        <v>12</v>
      </c>
      <c r="C8" s="8" t="s">
        <v>12</v>
      </c>
      <c r="D8" s="8"/>
      <c r="E8" s="7" t="s">
        <v>19</v>
      </c>
      <c r="F8" s="8" t="s">
        <v>21</v>
      </c>
      <c r="G8" s="8"/>
      <c r="H8" s="8"/>
      <c r="I8" s="8"/>
      <c r="J8" s="8"/>
    </row>
    <row r="9" spans="1:14" x14ac:dyDescent="0.25">
      <c r="A9" t="s">
        <v>8</v>
      </c>
      <c r="B9" t="s">
        <v>13</v>
      </c>
      <c r="C9" s="8" t="s">
        <v>13</v>
      </c>
      <c r="D9" s="8"/>
      <c r="E9" s="8"/>
      <c r="F9" s="8"/>
      <c r="G9" s="8"/>
      <c r="H9" s="8"/>
      <c r="I9" s="8"/>
      <c r="J9" s="8"/>
    </row>
    <row r="10" spans="1:14" x14ac:dyDescent="0.25">
      <c r="A10" t="s">
        <v>9</v>
      </c>
      <c r="B10" t="s">
        <v>14</v>
      </c>
      <c r="C10" s="8" t="s">
        <v>14</v>
      </c>
      <c r="D10" s="8"/>
      <c r="E10" s="8"/>
      <c r="F10" s="8"/>
      <c r="G10" s="8"/>
      <c r="H10" s="8"/>
      <c r="I10" s="8"/>
      <c r="J10" s="8"/>
    </row>
    <row r="11" spans="1:14" x14ac:dyDescent="0.25">
      <c r="A11" t="s">
        <v>10</v>
      </c>
      <c r="B11" t="s">
        <v>15</v>
      </c>
      <c r="C11" s="8" t="s">
        <v>15</v>
      </c>
      <c r="D11" s="8"/>
      <c r="E11" s="8"/>
      <c r="F11" s="8"/>
      <c r="G11" s="8"/>
      <c r="H11" s="8"/>
      <c r="I11" s="8"/>
      <c r="J11" s="8"/>
    </row>
    <row r="13" spans="1:14" x14ac:dyDescent="0.25">
      <c r="A13" s="10" t="s">
        <v>22</v>
      </c>
      <c r="H13" t="s">
        <v>97</v>
      </c>
    </row>
    <row r="14" spans="1:14" x14ac:dyDescent="0.25">
      <c r="A14" t="s">
        <v>23</v>
      </c>
      <c r="G14" s="2" t="s">
        <v>98</v>
      </c>
      <c r="H14" s="19" t="s">
        <v>95</v>
      </c>
      <c r="I14" s="1"/>
      <c r="J14" s="1"/>
      <c r="K14" s="1"/>
      <c r="L14" s="1"/>
      <c r="M14" s="1"/>
      <c r="N14" s="1"/>
    </row>
    <row r="15" spans="1:14" x14ac:dyDescent="0.25">
      <c r="A15" t="s">
        <v>24</v>
      </c>
      <c r="D15" s="2" t="s">
        <v>29</v>
      </c>
      <c r="G15" s="2" t="s">
        <v>99</v>
      </c>
      <c r="H15" s="19" t="s">
        <v>96</v>
      </c>
      <c r="I15" s="1"/>
      <c r="J15" s="1"/>
      <c r="K15" s="1"/>
      <c r="L15" s="1"/>
      <c r="M15" s="1"/>
      <c r="N15" s="1"/>
    </row>
    <row r="16" spans="1:14" ht="17.25" customHeight="1" x14ac:dyDescent="0.25">
      <c r="A16" t="s">
        <v>25</v>
      </c>
      <c r="G16" s="6" t="s">
        <v>102</v>
      </c>
      <c r="H16" s="20" t="s">
        <v>77</v>
      </c>
      <c r="I16" s="21"/>
      <c r="J16" s="21"/>
      <c r="K16" s="21"/>
      <c r="L16" s="21"/>
      <c r="M16" s="21"/>
    </row>
    <row r="17" spans="1:13" x14ac:dyDescent="0.25">
      <c r="A17" t="s">
        <v>26</v>
      </c>
      <c r="H17" s="6" t="s">
        <v>100</v>
      </c>
      <c r="I17" s="6"/>
      <c r="J17" s="6"/>
      <c r="K17" s="6"/>
      <c r="L17" s="6"/>
      <c r="M17" s="6"/>
    </row>
    <row r="18" spans="1:13" x14ac:dyDescent="0.25">
      <c r="A18" t="s">
        <v>27</v>
      </c>
      <c r="H18" s="6" t="s">
        <v>101</v>
      </c>
      <c r="I18" s="6"/>
      <c r="J18" s="6"/>
      <c r="K18" s="6"/>
      <c r="L18" s="6"/>
      <c r="M18" s="6"/>
    </row>
    <row r="19" spans="1:13" x14ac:dyDescent="0.25">
      <c r="A19" t="s">
        <v>28</v>
      </c>
    </row>
    <row r="22" spans="1:13" ht="19.5" x14ac:dyDescent="0.3">
      <c r="A22" s="10" t="s">
        <v>30</v>
      </c>
      <c r="B22" s="10"/>
      <c r="C22" s="10"/>
      <c r="D22" s="11" t="s">
        <v>38</v>
      </c>
      <c r="E22" s="2" t="s">
        <v>39</v>
      </c>
    </row>
    <row r="24" spans="1:13" x14ac:dyDescent="0.25">
      <c r="A24" s="6" t="s">
        <v>94</v>
      </c>
      <c r="B24" s="21"/>
      <c r="C24" s="21"/>
      <c r="D24" s="21"/>
    </row>
    <row r="26" spans="1:13" x14ac:dyDescent="0.25">
      <c r="A26" s="10" t="s">
        <v>103</v>
      </c>
    </row>
    <row r="27" spans="1:13" x14ac:dyDescent="0.25">
      <c r="A27" t="s">
        <v>104</v>
      </c>
    </row>
    <row r="28" spans="1:13" x14ac:dyDescent="0.25">
      <c r="A28" t="s">
        <v>105</v>
      </c>
    </row>
    <row r="29" spans="1:13" x14ac:dyDescent="0.25">
      <c r="A29" t="s">
        <v>106</v>
      </c>
    </row>
    <row r="30" spans="1:13" x14ac:dyDescent="0.25">
      <c r="A30" t="s">
        <v>107</v>
      </c>
    </row>
    <row r="31" spans="1:13" x14ac:dyDescent="0.25">
      <c r="E31" s="2" t="s">
        <v>110</v>
      </c>
    </row>
    <row r="32" spans="1:13" x14ac:dyDescent="0.25">
      <c r="A32" s="10" t="s">
        <v>112</v>
      </c>
      <c r="B32" s="1"/>
    </row>
    <row r="33" spans="1:10" x14ac:dyDescent="0.25">
      <c r="A33" s="6" t="s">
        <v>108</v>
      </c>
      <c r="B33" s="6"/>
      <c r="C33" s="6"/>
    </row>
    <row r="34" spans="1:10" x14ac:dyDescent="0.25">
      <c r="A34" s="22" t="s">
        <v>109</v>
      </c>
      <c r="B34" s="22"/>
      <c r="C34" s="22"/>
      <c r="D34" s="22"/>
      <c r="E34" s="22"/>
    </row>
    <row r="36" spans="1:10" x14ac:dyDescent="0.25">
      <c r="B36" s="2" t="s">
        <v>111</v>
      </c>
    </row>
    <row r="38" spans="1:10" x14ac:dyDescent="0.25">
      <c r="A38" s="10" t="s">
        <v>138</v>
      </c>
      <c r="B38" s="1"/>
    </row>
    <row r="40" spans="1:10" x14ac:dyDescent="0.25">
      <c r="A40" s="10" t="s">
        <v>113</v>
      </c>
      <c r="B40" s="10" t="s">
        <v>115</v>
      </c>
      <c r="C40" s="10" t="s">
        <v>117</v>
      </c>
      <c r="E40" s="10" t="s">
        <v>137</v>
      </c>
      <c r="F40" s="10"/>
      <c r="G40" s="10"/>
      <c r="H40" s="10"/>
      <c r="I40" s="10"/>
      <c r="J40" s="10"/>
    </row>
    <row r="41" spans="1:10" x14ac:dyDescent="0.25">
      <c r="A41" t="s">
        <v>169</v>
      </c>
      <c r="B41" t="s">
        <v>116</v>
      </c>
      <c r="C41" t="s">
        <v>118</v>
      </c>
      <c r="E41" s="10" t="s">
        <v>129</v>
      </c>
      <c r="F41" s="10"/>
      <c r="G41" s="10"/>
      <c r="H41" s="10"/>
      <c r="I41" s="10"/>
      <c r="J41" s="10"/>
    </row>
    <row r="43" spans="1:10" x14ac:dyDescent="0.25">
      <c r="A43" t="s">
        <v>119</v>
      </c>
      <c r="B43" t="s">
        <v>120</v>
      </c>
      <c r="C43" t="s">
        <v>121</v>
      </c>
      <c r="E43" t="s">
        <v>130</v>
      </c>
    </row>
    <row r="44" spans="1:10" x14ac:dyDescent="0.25">
      <c r="E44" t="s">
        <v>131</v>
      </c>
    </row>
    <row r="45" spans="1:10" x14ac:dyDescent="0.25">
      <c r="A45" t="s">
        <v>122</v>
      </c>
      <c r="B45" t="s">
        <v>123</v>
      </c>
      <c r="C45" t="s">
        <v>124</v>
      </c>
      <c r="E45" t="s">
        <v>132</v>
      </c>
    </row>
    <row r="46" spans="1:10" x14ac:dyDescent="0.25">
      <c r="E46" s="10" t="s">
        <v>133</v>
      </c>
    </row>
    <row r="47" spans="1:10" x14ac:dyDescent="0.25">
      <c r="A47" s="10" t="s">
        <v>114</v>
      </c>
      <c r="B47" s="10" t="s">
        <v>115</v>
      </c>
      <c r="C47" s="10" t="s">
        <v>117</v>
      </c>
      <c r="E47" t="s">
        <v>134</v>
      </c>
    </row>
    <row r="48" spans="1:10" x14ac:dyDescent="0.25">
      <c r="E48" t="s">
        <v>135</v>
      </c>
    </row>
    <row r="49" spans="1:9" x14ac:dyDescent="0.25">
      <c r="A49" t="s">
        <v>125</v>
      </c>
      <c r="B49" t="s">
        <v>126</v>
      </c>
      <c r="C49" t="s">
        <v>121</v>
      </c>
      <c r="E49" t="s">
        <v>136</v>
      </c>
    </row>
    <row r="51" spans="1:9" x14ac:dyDescent="0.25">
      <c r="A51" s="23" t="s">
        <v>127</v>
      </c>
      <c r="B51" s="23"/>
    </row>
    <row r="52" spans="1:9" x14ac:dyDescent="0.25">
      <c r="A52" s="23" t="s">
        <v>128</v>
      </c>
      <c r="B52" s="23"/>
    </row>
    <row r="55" spans="1:9" ht="19.5" x14ac:dyDescent="0.3">
      <c r="A55" s="24" t="s">
        <v>139</v>
      </c>
      <c r="B55" s="25"/>
      <c r="C55" s="1"/>
    </row>
    <row r="56" spans="1:9" x14ac:dyDescent="0.25">
      <c r="A56" s="21" t="s">
        <v>140</v>
      </c>
      <c r="B56" s="26" t="s">
        <v>141</v>
      </c>
    </row>
    <row r="58" spans="1:9" x14ac:dyDescent="0.25">
      <c r="A58" s="27" t="s">
        <v>155</v>
      </c>
      <c r="B58" t="s">
        <v>144</v>
      </c>
      <c r="D58" s="28" t="s">
        <v>148</v>
      </c>
      <c r="E58" s="26"/>
      <c r="F58" s="26"/>
      <c r="G58" s="26"/>
      <c r="H58" s="26"/>
      <c r="I58" s="26"/>
    </row>
    <row r="59" spans="1:9" x14ac:dyDescent="0.25">
      <c r="A59" t="s">
        <v>142</v>
      </c>
      <c r="B59" t="s">
        <v>145</v>
      </c>
    </row>
    <row r="60" spans="1:9" x14ac:dyDescent="0.25">
      <c r="A60" t="s">
        <v>143</v>
      </c>
    </row>
    <row r="62" spans="1:9" x14ac:dyDescent="0.25">
      <c r="A62" s="10" t="s">
        <v>147</v>
      </c>
      <c r="B62" t="s">
        <v>146</v>
      </c>
    </row>
    <row r="63" spans="1:9" x14ac:dyDescent="0.25">
      <c r="A63" s="10" t="s">
        <v>143</v>
      </c>
      <c r="B63" t="s">
        <v>156</v>
      </c>
    </row>
    <row r="64" spans="1:9" x14ac:dyDescent="0.25">
      <c r="A64" s="2"/>
    </row>
    <row r="65" spans="1:3" x14ac:dyDescent="0.25">
      <c r="A65" s="10" t="s">
        <v>157</v>
      </c>
      <c r="B65" t="s">
        <v>158</v>
      </c>
    </row>
    <row r="66" spans="1:3" x14ac:dyDescent="0.25">
      <c r="A66" s="2"/>
    </row>
    <row r="67" spans="1:3" x14ac:dyDescent="0.25">
      <c r="A67" s="10" t="s">
        <v>145</v>
      </c>
      <c r="B67" t="s">
        <v>170</v>
      </c>
    </row>
    <row r="68" spans="1:3" x14ac:dyDescent="0.25">
      <c r="A68" s="2"/>
    </row>
    <row r="69" spans="1:3" x14ac:dyDescent="0.25">
      <c r="A69" s="2"/>
    </row>
    <row r="70" spans="1:3" x14ac:dyDescent="0.25">
      <c r="A70" s="29" t="s">
        <v>149</v>
      </c>
      <c r="C70" s="29" t="s">
        <v>168</v>
      </c>
    </row>
    <row r="71" spans="1:3" x14ac:dyDescent="0.25">
      <c r="A71" t="s">
        <v>150</v>
      </c>
      <c r="C71" s="2" t="s">
        <v>161</v>
      </c>
    </row>
    <row r="72" spans="1:3" x14ac:dyDescent="0.25">
      <c r="C72" s="2" t="s">
        <v>162</v>
      </c>
    </row>
    <row r="73" spans="1:3" x14ac:dyDescent="0.25">
      <c r="A73" t="s">
        <v>151</v>
      </c>
      <c r="C73" s="2" t="s">
        <v>163</v>
      </c>
    </row>
    <row r="74" spans="1:3" x14ac:dyDescent="0.25">
      <c r="C74" s="2"/>
    </row>
    <row r="75" spans="1:3" x14ac:dyDescent="0.25">
      <c r="A75" t="s">
        <v>152</v>
      </c>
      <c r="C75" s="2" t="s">
        <v>152</v>
      </c>
    </row>
    <row r="76" spans="1:3" x14ac:dyDescent="0.25">
      <c r="C76" s="2"/>
    </row>
    <row r="77" spans="1:3" x14ac:dyDescent="0.25">
      <c r="A77" t="s">
        <v>153</v>
      </c>
      <c r="C77" s="2" t="s">
        <v>164</v>
      </c>
    </row>
    <row r="78" spans="1:3" x14ac:dyDescent="0.25">
      <c r="A78" t="s">
        <v>154</v>
      </c>
      <c r="C78" s="2" t="s">
        <v>165</v>
      </c>
    </row>
    <row r="79" spans="1:3" x14ac:dyDescent="0.25">
      <c r="C79" s="2" t="s">
        <v>166</v>
      </c>
    </row>
    <row r="80" spans="1:3" x14ac:dyDescent="0.25">
      <c r="A80" s="30" t="s">
        <v>159</v>
      </c>
      <c r="C80" s="2" t="s">
        <v>167</v>
      </c>
    </row>
    <row r="81" spans="1:2" x14ac:dyDescent="0.25">
      <c r="A81" s="2" t="s">
        <v>160</v>
      </c>
    </row>
    <row r="83" spans="1:2" x14ac:dyDescent="0.25">
      <c r="A83" s="29" t="s">
        <v>171</v>
      </c>
    </row>
    <row r="84" spans="1:2" x14ac:dyDescent="0.25">
      <c r="A84" t="s">
        <v>172</v>
      </c>
    </row>
    <row r="85" spans="1:2" x14ac:dyDescent="0.25">
      <c r="A85" t="s">
        <v>173</v>
      </c>
    </row>
    <row r="86" spans="1:2" x14ac:dyDescent="0.25">
      <c r="A86" s="31" t="s">
        <v>174</v>
      </c>
    </row>
    <row r="87" spans="1:2" x14ac:dyDescent="0.25">
      <c r="A87" s="31"/>
    </row>
    <row r="88" spans="1:2" x14ac:dyDescent="0.25">
      <c r="A88" s="33" t="s">
        <v>178</v>
      </c>
      <c r="B88" t="s">
        <v>179</v>
      </c>
    </row>
    <row r="89" spans="1:2" x14ac:dyDescent="0.25">
      <c r="A89" s="31" t="s">
        <v>180</v>
      </c>
    </row>
    <row r="90" spans="1:2" x14ac:dyDescent="0.25">
      <c r="A90" s="31" t="s">
        <v>181</v>
      </c>
    </row>
    <row r="91" spans="1:2" x14ac:dyDescent="0.25">
      <c r="A91" s="31" t="s">
        <v>182</v>
      </c>
    </row>
    <row r="92" spans="1:2" x14ac:dyDescent="0.25">
      <c r="A92" s="31" t="s">
        <v>183</v>
      </c>
    </row>
    <row r="93" spans="1:2" x14ac:dyDescent="0.25">
      <c r="A93" s="31" t="s">
        <v>184</v>
      </c>
    </row>
    <row r="94" spans="1:2" x14ac:dyDescent="0.25">
      <c r="A94" s="31"/>
    </row>
    <row r="95" spans="1:2" x14ac:dyDescent="0.25">
      <c r="A95" s="32" t="s">
        <v>185</v>
      </c>
    </row>
    <row r="96" spans="1:2" x14ac:dyDescent="0.25">
      <c r="A96" s="31" t="s">
        <v>186</v>
      </c>
    </row>
    <row r="97" spans="1:2" x14ac:dyDescent="0.25">
      <c r="A97" s="31" t="s">
        <v>187</v>
      </c>
    </row>
    <row r="98" spans="1:2" x14ac:dyDescent="0.25">
      <c r="A98" s="31" t="s">
        <v>188</v>
      </c>
    </row>
    <row r="99" spans="1:2" x14ac:dyDescent="0.25">
      <c r="A99" s="32" t="s">
        <v>189</v>
      </c>
    </row>
    <row r="100" spans="1:2" x14ac:dyDescent="0.25">
      <c r="A100" s="31"/>
    </row>
    <row r="102" spans="1:2" x14ac:dyDescent="0.25">
      <c r="A102" s="29" t="s">
        <v>177</v>
      </c>
      <c r="B102" s="30"/>
    </row>
    <row r="103" spans="1:2" x14ac:dyDescent="0.25">
      <c r="A103" t="s">
        <v>176</v>
      </c>
    </row>
    <row r="105" spans="1:2" x14ac:dyDescent="0.25">
      <c r="A105" t="s">
        <v>175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113"/>
  <sheetViews>
    <sheetView workbookViewId="0"/>
  </sheetViews>
  <sheetFormatPr defaultRowHeight="15" x14ac:dyDescent="0.25"/>
  <cols>
    <col min="1" max="1" width="92.5703125" bestFit="1" customWidth="1"/>
  </cols>
  <sheetData>
    <row r="1" spans="1:1" x14ac:dyDescent="0.25">
      <c r="A1" t="s">
        <v>43</v>
      </c>
    </row>
    <row r="3" spans="1:1" x14ac:dyDescent="0.25">
      <c r="A3" t="s">
        <v>44</v>
      </c>
    </row>
    <row r="4" spans="1:1" x14ac:dyDescent="0.25">
      <c r="A4" t="s">
        <v>45</v>
      </c>
    </row>
    <row r="6" spans="1:1" x14ac:dyDescent="0.25">
      <c r="A6" t="s">
        <v>46</v>
      </c>
    </row>
    <row r="7" spans="1:1" x14ac:dyDescent="0.25">
      <c r="A7" t="s">
        <v>47</v>
      </c>
    </row>
    <row r="9" spans="1:1" x14ac:dyDescent="0.25">
      <c r="A9" t="s">
        <v>48</v>
      </c>
    </row>
    <row r="10" spans="1:1" x14ac:dyDescent="0.25">
      <c r="A10" t="s">
        <v>49</v>
      </c>
    </row>
    <row r="12" spans="1:1" x14ac:dyDescent="0.25">
      <c r="A12" t="s">
        <v>50</v>
      </c>
    </row>
    <row r="13" spans="1:1" x14ac:dyDescent="0.25">
      <c r="A13" t="s">
        <v>51</v>
      </c>
    </row>
    <row r="15" spans="1:1" x14ac:dyDescent="0.25">
      <c r="A15" t="s">
        <v>52</v>
      </c>
    </row>
    <row r="16" spans="1:1" x14ac:dyDescent="0.25">
      <c r="A16" t="s">
        <v>53</v>
      </c>
    </row>
    <row r="18" spans="1:1" x14ac:dyDescent="0.25">
      <c r="A18" t="s">
        <v>54</v>
      </c>
    </row>
    <row r="19" spans="1:1" x14ac:dyDescent="0.25">
      <c r="A19" t="s">
        <v>55</v>
      </c>
    </row>
    <row r="21" spans="1:1" x14ac:dyDescent="0.25">
      <c r="A21" t="s">
        <v>56</v>
      </c>
    </row>
    <row r="22" spans="1:1" x14ac:dyDescent="0.25">
      <c r="A22" t="s">
        <v>57</v>
      </c>
    </row>
    <row r="24" spans="1:1" x14ac:dyDescent="0.25">
      <c r="A24" t="s">
        <v>58</v>
      </c>
    </row>
    <row r="25" spans="1:1" x14ac:dyDescent="0.25">
      <c r="A25" t="s">
        <v>59</v>
      </c>
    </row>
    <row r="27" spans="1:1" x14ac:dyDescent="0.25">
      <c r="A27" t="s">
        <v>60</v>
      </c>
    </row>
    <row r="28" spans="1:1" x14ac:dyDescent="0.25">
      <c r="A28" t="s">
        <v>61</v>
      </c>
    </row>
    <row r="30" spans="1:1" x14ac:dyDescent="0.25">
      <c r="A30" t="s">
        <v>62</v>
      </c>
    </row>
    <row r="31" spans="1:1" x14ac:dyDescent="0.25">
      <c r="A31" t="s">
        <v>63</v>
      </c>
    </row>
    <row r="33" spans="1:1" x14ac:dyDescent="0.25">
      <c r="A33" t="s">
        <v>64</v>
      </c>
    </row>
    <row r="34" spans="1:1" x14ac:dyDescent="0.25">
      <c r="A34" t="s">
        <v>65</v>
      </c>
    </row>
    <row r="36" spans="1:1" x14ac:dyDescent="0.25">
      <c r="A36" t="s">
        <v>66</v>
      </c>
    </row>
    <row r="37" spans="1:1" x14ac:dyDescent="0.25">
      <c r="A37" t="s">
        <v>67</v>
      </c>
    </row>
    <row r="39" spans="1:1" x14ac:dyDescent="0.25">
      <c r="A39" t="s">
        <v>68</v>
      </c>
    </row>
    <row r="40" spans="1:1" x14ac:dyDescent="0.25">
      <c r="A40" t="s">
        <v>69</v>
      </c>
    </row>
    <row r="42" spans="1:1" x14ac:dyDescent="0.25">
      <c r="A42" t="s">
        <v>70</v>
      </c>
    </row>
    <row r="43" spans="1:1" x14ac:dyDescent="0.25">
      <c r="A43" t="s">
        <v>71</v>
      </c>
    </row>
    <row r="45" spans="1:1" x14ac:dyDescent="0.25">
      <c r="A45" t="s">
        <v>72</v>
      </c>
    </row>
    <row r="46" spans="1:1" x14ac:dyDescent="0.25">
      <c r="A46" t="s">
        <v>73</v>
      </c>
    </row>
    <row r="49" spans="1:1" x14ac:dyDescent="0.25">
      <c r="A49" t="s">
        <v>74</v>
      </c>
    </row>
    <row r="51" spans="1:1" x14ac:dyDescent="0.25">
      <c r="A51" t="s">
        <v>75</v>
      </c>
    </row>
    <row r="53" spans="1:1" x14ac:dyDescent="0.25">
      <c r="A53" t="s">
        <v>76</v>
      </c>
    </row>
    <row r="55" spans="1:1" x14ac:dyDescent="0.25">
      <c r="A55" t="s">
        <v>77</v>
      </c>
    </row>
    <row r="56" spans="1:1" x14ac:dyDescent="0.25">
      <c r="A56" t="s">
        <v>78</v>
      </c>
    </row>
    <row r="58" spans="1:1" x14ac:dyDescent="0.25">
      <c r="A58" t="s">
        <v>77</v>
      </c>
    </row>
    <row r="59" spans="1:1" x14ac:dyDescent="0.25">
      <c r="A59" t="s">
        <v>79</v>
      </c>
    </row>
    <row r="61" spans="1:1" x14ac:dyDescent="0.25">
      <c r="A61" t="s">
        <v>77</v>
      </c>
    </row>
    <row r="62" spans="1:1" x14ac:dyDescent="0.25">
      <c r="A62" t="s">
        <v>80</v>
      </c>
    </row>
    <row r="64" spans="1:1" x14ac:dyDescent="0.25">
      <c r="A64" t="s">
        <v>77</v>
      </c>
    </row>
    <row r="65" spans="1:1" x14ac:dyDescent="0.25">
      <c r="A65" t="s">
        <v>81</v>
      </c>
    </row>
    <row r="67" spans="1:1" x14ac:dyDescent="0.25">
      <c r="A67" t="s">
        <v>77</v>
      </c>
    </row>
    <row r="68" spans="1:1" x14ac:dyDescent="0.25">
      <c r="A68" t="s">
        <v>82</v>
      </c>
    </row>
    <row r="70" spans="1:1" x14ac:dyDescent="0.25">
      <c r="A70" t="s">
        <v>83</v>
      </c>
    </row>
    <row r="71" spans="1:1" x14ac:dyDescent="0.25">
      <c r="A71" t="s">
        <v>84</v>
      </c>
    </row>
    <row r="73" spans="1:1" x14ac:dyDescent="0.25">
      <c r="A73" t="s">
        <v>77</v>
      </c>
    </row>
    <row r="74" spans="1:1" x14ac:dyDescent="0.25">
      <c r="A74" t="s">
        <v>85</v>
      </c>
    </row>
    <row r="76" spans="1:1" x14ac:dyDescent="0.25">
      <c r="A76" t="s">
        <v>77</v>
      </c>
    </row>
    <row r="77" spans="1:1" x14ac:dyDescent="0.25">
      <c r="A77" t="s">
        <v>86</v>
      </c>
    </row>
    <row r="79" spans="1:1" x14ac:dyDescent="0.25">
      <c r="A79" t="s">
        <v>77</v>
      </c>
    </row>
    <row r="80" spans="1:1" x14ac:dyDescent="0.25">
      <c r="A80" t="s">
        <v>87</v>
      </c>
    </row>
    <row r="82" spans="1:1" x14ac:dyDescent="0.25">
      <c r="A82" t="s">
        <v>77</v>
      </c>
    </row>
    <row r="83" spans="1:1" x14ac:dyDescent="0.25">
      <c r="A83" t="s">
        <v>88</v>
      </c>
    </row>
    <row r="85" spans="1:1" x14ac:dyDescent="0.25">
      <c r="A85" t="s">
        <v>77</v>
      </c>
    </row>
    <row r="86" spans="1:1" x14ac:dyDescent="0.25">
      <c r="A86" t="s">
        <v>89</v>
      </c>
    </row>
    <row r="88" spans="1:1" x14ac:dyDescent="0.25">
      <c r="A88" t="s">
        <v>77</v>
      </c>
    </row>
    <row r="89" spans="1:1" x14ac:dyDescent="0.25">
      <c r="A89" t="s">
        <v>90</v>
      </c>
    </row>
    <row r="91" spans="1:1" x14ac:dyDescent="0.25">
      <c r="A91" t="s">
        <v>83</v>
      </c>
    </row>
    <row r="92" spans="1:1" x14ac:dyDescent="0.25">
      <c r="A92" t="s">
        <v>91</v>
      </c>
    </row>
    <row r="94" spans="1:1" x14ac:dyDescent="0.25">
      <c r="A94" t="s">
        <v>77</v>
      </c>
    </row>
    <row r="95" spans="1:1" x14ac:dyDescent="0.25">
      <c r="A95" t="s">
        <v>92</v>
      </c>
    </row>
    <row r="97" spans="1:1" x14ac:dyDescent="0.25">
      <c r="A97" t="s">
        <v>77</v>
      </c>
    </row>
    <row r="98" spans="1:1" x14ac:dyDescent="0.25">
      <c r="A98" t="s">
        <v>92</v>
      </c>
    </row>
    <row r="100" spans="1:1" x14ac:dyDescent="0.25">
      <c r="A100" t="s">
        <v>77</v>
      </c>
    </row>
    <row r="101" spans="1:1" x14ac:dyDescent="0.25">
      <c r="A101" t="s">
        <v>92</v>
      </c>
    </row>
    <row r="103" spans="1:1" x14ac:dyDescent="0.25">
      <c r="A103" t="s">
        <v>77</v>
      </c>
    </row>
    <row r="104" spans="1:1" x14ac:dyDescent="0.25">
      <c r="A104" t="s">
        <v>92</v>
      </c>
    </row>
    <row r="106" spans="1:1" x14ac:dyDescent="0.25">
      <c r="A106" t="s">
        <v>77</v>
      </c>
    </row>
    <row r="107" spans="1:1" x14ac:dyDescent="0.25">
      <c r="A107" t="s">
        <v>92</v>
      </c>
    </row>
    <row r="109" spans="1:1" x14ac:dyDescent="0.25">
      <c r="A109" t="s">
        <v>77</v>
      </c>
    </row>
    <row r="110" spans="1:1" x14ac:dyDescent="0.25">
      <c r="A110" t="s">
        <v>92</v>
      </c>
    </row>
    <row r="111" spans="1:1" x14ac:dyDescent="0.25">
      <c r="A111" t="s">
        <v>93</v>
      </c>
    </row>
    <row r="113" spans="1:1" x14ac:dyDescent="0.25">
      <c r="A113" t="s">
        <v>74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INFO</vt:lpstr>
      <vt:lpstr>OFFSET CODING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lekhraj kashyap</dc:creator>
  <cp:lastModifiedBy>HP</cp:lastModifiedBy>
  <dcterms:created xsi:type="dcterms:W3CDTF">2018-08-21T13:51:01Z</dcterms:created>
  <dcterms:modified xsi:type="dcterms:W3CDTF">2020-04-01T04:11:39Z</dcterms:modified>
</cp:coreProperties>
</file>