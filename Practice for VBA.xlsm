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VBA\Practice After Python\"/>
    </mc:Choice>
  </mc:AlternateContent>
  <xr:revisionPtr revIDLastSave="0" documentId="13_ncr:1_{A56783A8-F8F8-40E5-A0A1-B18BA53CE552}" xr6:coauthVersionLast="45" xr6:coauthVersionMax="45" xr10:uidLastSave="{00000000-0000-0000-0000-000000000000}"/>
  <bookViews>
    <workbookView xWindow="-120" yWindow="-120" windowWidth="20730" windowHeight="11160" tabRatio="922" firstSheet="19" activeTab="27" xr2:uid="{2E31E984-248B-41D4-BEAE-D2D2C2D0F53D}"/>
  </bookViews>
  <sheets>
    <sheet name="Record_Macro" sheetId="1" r:id="rId1"/>
    <sheet name="INTRODUCTION" sheetId="24" r:id="rId2"/>
    <sheet name="DATE_VBA" sheetId="25" r:id="rId3"/>
    <sheet name="HIDE_VBA" sheetId="23" r:id="rId4"/>
    <sheet name="ADD_DELETE_SHEETS" sheetId="26" r:id="rId5"/>
    <sheet name="DELETE_INSERT_ROWS_COLUMNS" sheetId="27" r:id="rId6"/>
    <sheet name="Activecell_Offset" sheetId="2" r:id="rId7"/>
    <sheet name="COPY1" sheetId="3" r:id="rId8"/>
    <sheet name="PASTE1" sheetId="4" r:id="rId9"/>
    <sheet name="COPY2" sheetId="5" r:id="rId10"/>
    <sheet name="PASTE2" sheetId="6" r:id="rId11"/>
    <sheet name="JAN" sheetId="7" r:id="rId12"/>
    <sheet name="FEB" sheetId="8" r:id="rId13"/>
    <sheet name="MAR" sheetId="9" r:id="rId14"/>
    <sheet name="CONSOL" sheetId="10" r:id="rId15"/>
    <sheet name="LOOP" sheetId="11" r:id="rId16"/>
    <sheet name="IFLOOP" sheetId="12" r:id="rId17"/>
    <sheet name="DOWHILE" sheetId="13" r:id="rId18"/>
    <sheet name="FOR_NEXT_LOOP" sheetId="14" r:id="rId19"/>
    <sheet name="FOR_NEXT_IF" sheetId="15" r:id="rId20"/>
    <sheet name="FOR_NEXT_NESTED_IF" sheetId="16" r:id="rId21"/>
    <sheet name="FOR_EACH_NEXT" sheetId="17" r:id="rId22"/>
    <sheet name="LIST" sheetId="18" r:id="rId23"/>
    <sheet name="LIST_REPLACE" sheetId="19" r:id="rId24"/>
    <sheet name="FORMULA" sheetId="20" r:id="rId25"/>
    <sheet name="VLOOKUP_REFRENCE_NOTES" sheetId="21" r:id="rId26"/>
    <sheet name="VLOOKUP_PRACTICE" sheetId="22" r:id="rId27"/>
    <sheet name="FORMS" sheetId="28" r:id="rId2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1" i="15" l="1"/>
  <c r="C10" i="15"/>
  <c r="C9" i="15"/>
  <c r="C8" i="15"/>
  <c r="C7" i="15"/>
  <c r="C6" i="15"/>
  <c r="C5" i="15"/>
  <c r="C4" i="15"/>
  <c r="C3" i="15"/>
  <c r="C2" i="15"/>
  <c r="C11" i="12"/>
  <c r="C10" i="12"/>
  <c r="C9" i="12"/>
  <c r="C8" i="12"/>
  <c r="C7" i="12"/>
  <c r="C6" i="12"/>
  <c r="C5" i="12"/>
  <c r="C4" i="12"/>
  <c r="C3" i="12"/>
  <c r="C2" i="12"/>
  <c r="C35" i="22" l="1"/>
  <c r="C34" i="22"/>
  <c r="C33" i="22"/>
  <c r="C32" i="22"/>
  <c r="C31" i="22"/>
  <c r="C30" i="22"/>
  <c r="G16" i="22"/>
  <c r="F16" i="22"/>
  <c r="G15" i="22"/>
  <c r="F15" i="22"/>
  <c r="G14" i="22"/>
  <c r="F14" i="22"/>
  <c r="G13" i="22"/>
  <c r="F13" i="22"/>
  <c r="G12" i="22"/>
  <c r="F12" i="22"/>
  <c r="G11" i="22"/>
  <c r="F11" i="22"/>
  <c r="E7" i="22"/>
  <c r="E6" i="22"/>
  <c r="E5" i="22"/>
  <c r="E4" i="22"/>
  <c r="E3" i="22"/>
  <c r="E2" i="22"/>
  <c r="C62" i="21"/>
  <c r="C61" i="21"/>
  <c r="C60" i="21"/>
  <c r="C59" i="21"/>
  <c r="C58" i="21"/>
  <c r="C57" i="21"/>
  <c r="C51" i="21"/>
  <c r="C50" i="21"/>
  <c r="C49" i="21"/>
  <c r="C48" i="21"/>
  <c r="C47" i="21"/>
  <c r="C46" i="21"/>
  <c r="G31" i="21"/>
  <c r="F31" i="21"/>
  <c r="G30" i="21"/>
  <c r="F30" i="21"/>
  <c r="G29" i="21"/>
  <c r="F29" i="21"/>
  <c r="G28" i="21"/>
  <c r="F28" i="21"/>
  <c r="G27" i="21"/>
  <c r="F27" i="21"/>
  <c r="G26" i="21"/>
  <c r="F26" i="21"/>
  <c r="G19" i="21"/>
  <c r="F19" i="21"/>
  <c r="G18" i="21"/>
  <c r="F18" i="21"/>
  <c r="G17" i="21"/>
  <c r="F17" i="21"/>
  <c r="G16" i="21"/>
  <c r="F16" i="21"/>
  <c r="G15" i="21"/>
  <c r="F15" i="21"/>
  <c r="G14" i="21"/>
  <c r="F14" i="21"/>
  <c r="E7" i="21"/>
  <c r="E6" i="21"/>
  <c r="E5" i="21"/>
  <c r="E4" i="21"/>
  <c r="E3" i="21"/>
  <c r="E2" i="21"/>
</calcChain>
</file>

<file path=xl/sharedStrings.xml><?xml version="1.0" encoding="utf-8"?>
<sst xmlns="http://schemas.openxmlformats.org/spreadsheetml/2006/main" count="735" uniqueCount="410">
  <si>
    <t>gross</t>
  </si>
  <si>
    <t>kapil</t>
  </si>
  <si>
    <t>hans</t>
  </si>
  <si>
    <t>manish</t>
  </si>
  <si>
    <t>sales</t>
  </si>
  <si>
    <t>year</t>
  </si>
  <si>
    <t>SALES</t>
  </si>
  <si>
    <t>COGS</t>
  </si>
  <si>
    <t>GROSS PROFIT</t>
  </si>
  <si>
    <t>OFFICE EXP</t>
  </si>
  <si>
    <t>ADMIN EXP</t>
  </si>
  <si>
    <t>OTHERS</t>
  </si>
  <si>
    <t>NET PROFIT</t>
  </si>
  <si>
    <t>PERCENTAGE</t>
  </si>
  <si>
    <t>Q</t>
  </si>
  <si>
    <t>COPY AND PASTE THIS LINE TO "PASTE" SHEET</t>
  </si>
  <si>
    <t>Q)</t>
  </si>
  <si>
    <t>COPY ALL THE DATA AND PASTE IT TO "PASTE2" SHEET</t>
  </si>
  <si>
    <t>Use a code to enter the sales values which should be greater than 50000.</t>
  </si>
  <si>
    <t>If the value is less then please ask to reenter the value till the value is &gt;50000</t>
  </si>
  <si>
    <t>if the value is &gt;50000 than paste that value in the column next to Sales.</t>
  </si>
  <si>
    <t>or</t>
  </si>
  <si>
    <t>USE A FORMULA THAT REPEAT IT SELF UNTILL THE VALUE IF MORE THAN 50000 AND SHOWS A MSG IF VALUE LESS THEN THAT</t>
  </si>
  <si>
    <t>NAME</t>
  </si>
  <si>
    <t>MARKS</t>
  </si>
  <si>
    <t>STATUS</t>
  </si>
  <si>
    <t>A</t>
  </si>
  <si>
    <t>FAIL</t>
  </si>
  <si>
    <t>B</t>
  </si>
  <si>
    <t>C</t>
  </si>
  <si>
    <t>D</t>
  </si>
  <si>
    <t>E</t>
  </si>
  <si>
    <t>F</t>
  </si>
  <si>
    <t>G</t>
  </si>
  <si>
    <t>H</t>
  </si>
  <si>
    <t>I</t>
  </si>
  <si>
    <t>J</t>
  </si>
  <si>
    <t xml:space="preserve">Q) Do it with </t>
  </si>
  <si>
    <t>DO UNTILL LOOP</t>
  </si>
  <si>
    <t>DO WHILE LOOP</t>
  </si>
  <si>
    <t>Sales</t>
  </si>
  <si>
    <t>WRITE A CODE IN WHICH USER WILL INPUT THE START NUMBER.</t>
  </si>
  <si>
    <t>THE NUMBER SHOULD ADD ITSELF AT EVERY ROW AND MOVE 10 ROWS.</t>
  </si>
  <si>
    <t>TIPS</t>
  </si>
  <si>
    <t>For Next loop</t>
  </si>
  <si>
    <t>1)</t>
  </si>
  <si>
    <t>Use a variable as an integer</t>
  </si>
  <si>
    <t>2)</t>
  </si>
  <si>
    <t>This variable will be used in the loop formula as</t>
  </si>
  <si>
    <t>FOR X = 1 TO 10</t>
  </si>
  <si>
    <t>:</t>
  </si>
  <si>
    <t>X</t>
  </si>
  <si>
    <t>Q) WRITE A CODE WITH FOR NEXT LOOP WITH IF CONDITION</t>
  </si>
  <si>
    <t>To use it we have to use the below coode</t>
  </si>
  <si>
    <t>dim x as integer</t>
  </si>
  <si>
    <t>RANGE("A1").SELECT</t>
  </si>
  <si>
    <t>RANGE(ACTIVECELL,ACTIVECELL.END(XLDOWN)).ROWS.COUNT</t>
  </si>
  <si>
    <t>GRADES</t>
  </si>
  <si>
    <t>COLUR</t>
  </si>
  <si>
    <t>&gt;90</t>
  </si>
  <si>
    <t>&gt;80</t>
  </si>
  <si>
    <t>&gt;70</t>
  </si>
  <si>
    <t>&gt;60</t>
  </si>
  <si>
    <t>TIP</t>
  </si>
  <si>
    <t>TO USE COLOUR</t>
  </si>
  <si>
    <t>CODE</t>
  </si>
  <si>
    <t>ACTIVECELL.OFFSET(0,1).VALUE.INTERIOR.COLOR=VBGREEN</t>
  </si>
  <si>
    <t>S</t>
  </si>
  <si>
    <t>USE A CODE TO ACTIVIATE ALL THE WORKSHEETS IN THE WORKBOOK</t>
  </si>
  <si>
    <t>PRINT 10 IN EVERY WORKSHEET AT CELL NO: X1</t>
  </si>
  <si>
    <t>TO WORK WITH FOR EACH NEXT LOOP USE THE BELOW CODE</t>
  </si>
  <si>
    <t>DIM X AS WORKSHEETS</t>
  </si>
  <si>
    <t>FOR EACH X IN WORKSHEETS</t>
  </si>
  <si>
    <t>HERE WE HAVE TO PRINT THE NAME OF EVERY WORKSHEET IN THIS WORKBOOK</t>
  </si>
  <si>
    <t>Record_Macro</t>
  </si>
  <si>
    <t>Activecell_Offset</t>
  </si>
  <si>
    <t>COPY1</t>
  </si>
  <si>
    <t>PASTE1</t>
  </si>
  <si>
    <t>COPY2</t>
  </si>
  <si>
    <t>PASTE2</t>
  </si>
  <si>
    <t>JAN</t>
  </si>
  <si>
    <t>FEB</t>
  </si>
  <si>
    <t>MAR</t>
  </si>
  <si>
    <t>CONSOL</t>
  </si>
  <si>
    <t>LOOP</t>
  </si>
  <si>
    <t>IFLOOP</t>
  </si>
  <si>
    <t>DOWHILE</t>
  </si>
  <si>
    <t>FOR_NEXT_LOOP</t>
  </si>
  <si>
    <t>FOR_NEXT_IF</t>
  </si>
  <si>
    <t>FOR_NEXT_NESTED_IF</t>
  </si>
  <si>
    <t>FOR_EACH_NEXT</t>
  </si>
  <si>
    <t>LIST</t>
  </si>
  <si>
    <t>O</t>
  </si>
  <si>
    <t>N</t>
  </si>
  <si>
    <t>L</t>
  </si>
  <si>
    <t>K</t>
  </si>
  <si>
    <t>M</t>
  </si>
  <si>
    <t>P</t>
  </si>
  <si>
    <t>R</t>
  </si>
  <si>
    <t>LIST_REPLACE</t>
  </si>
  <si>
    <t>Y</t>
  </si>
  <si>
    <t>X+Y</t>
  </si>
  <si>
    <t>PRO</t>
  </si>
  <si>
    <t>NEST</t>
  </si>
  <si>
    <t>Always Remember in Formula writing u have to keep Text in double inverted coma ex: ""pass""</t>
  </si>
  <si>
    <t>How to write formula:</t>
  </si>
  <si>
    <t>activecell.formula="=vlookup(R13,R13:R16,2,0)"</t>
  </si>
  <si>
    <t>HOW TO FREEZE IT</t>
  </si>
  <si>
    <t>VLOOKUP WITH MATCH</t>
  </si>
  <si>
    <t>ActiveCell.Offset(0, 1) = "=VLOOKUP(R[0]C5,R13C1:R19C3,MATCH(R13C[0],R13C1:R13C3,0),0)"</t>
  </si>
  <si>
    <t>=VLOOKUP($E12,$A$13:$C$19,MATCH(A$13,$A$13:$C$13,0),0)</t>
  </si>
  <si>
    <t>IBM</t>
  </si>
  <si>
    <t>IN THIS U CAN "FREEZE THE RO WAND COLUMN BY JUST PUTTING THE ROW NUMBER AND COLUMN NUMBER"</t>
  </si>
  <si>
    <t xml:space="preserve">LIKE: IF WANT TO SELECT FROM PRO TO 85 </t>
  </si>
  <si>
    <t>THEN</t>
  </si>
  <si>
    <t>CODE FOR PRO: ROW IS 13 AN COLUMN IS 1</t>
  </si>
  <si>
    <t>CODE FOR 85: ROW IS 19 AND COLUMN IS 3</t>
  </si>
  <si>
    <t>SO CODE WILL BE LIKE THAT :   (R13C1:R19C3)</t>
  </si>
  <si>
    <t xml:space="preserve">AND </t>
  </si>
  <si>
    <t xml:space="preserve">IF WE ARE FREEZING A SINGLE CLOUMN OR ROW THEN </t>
  </si>
  <si>
    <t>INDEX WITH MATCH</t>
  </si>
  <si>
    <t>FOR EX: HERE WE WILL FREEZE COLUMN NOT ROW AS PER VLOOKUP FORMULA</t>
  </si>
  <si>
    <t>SO CODE WILL BE $E12  (E IS FREEZED NOT 12{COLUMN})</t>
  </si>
  <si>
    <t>=INDEX($A$25:$C$31,MATCH($E24,$A$25:$A$31,0),MATCH(A$25,$A$25:$C$25,0))</t>
  </si>
  <si>
    <t>SO FORMULA WILL BE:</t>
  </si>
  <si>
    <t>R[0]C5      :</t>
  </si>
  <si>
    <t>E = R[0]</t>
  </si>
  <si>
    <t>12 = C5</t>
  </si>
  <si>
    <t>ActiveCell.Formula = "=INDEX(R25C1:R31C3,MATCH(R[0]C5,R25C1:R31C1,0),MATCH(R25C[0],R25C1:R25C3,0))"</t>
  </si>
  <si>
    <t>ActiveCell.Formula = "=OFFSET(R34C1,MATCH(R[0]C5,R34C1:R40C1,0)-1,MATCH(R34C[0],R34C1:R34C3,0)-1)"</t>
  </si>
  <si>
    <t>=OFFSET($A$34,MATCH($E33,$A$34:$A$40,0)-1,MATCH(A$34,$A$34:$C$34,0)-1)</t>
  </si>
  <si>
    <t>OFFSET WITH MATCH</t>
  </si>
  <si>
    <t>IF CONDITION</t>
  </si>
  <si>
    <t>=IF(B46&gt;=50,"PASS","FAIL")</t>
  </si>
  <si>
    <t>NESTED IF</t>
  </si>
  <si>
    <t>GRADE</t>
  </si>
  <si>
    <t>&gt;=90</t>
  </si>
  <si>
    <t>&gt;=70</t>
  </si>
  <si>
    <t>&gt;=60</t>
  </si>
  <si>
    <t>&gt;=50</t>
  </si>
  <si>
    <t>&lt;50</t>
  </si>
  <si>
    <t>Always Remember that:</t>
  </si>
  <si>
    <t xml:space="preserve">To Freeze: </t>
  </si>
  <si>
    <t>Use R[0] or C[0]</t>
  </si>
  <si>
    <t>To use a Range:</t>
  </si>
  <si>
    <t>It means if you want to Freeze the "A" then code:  "R[0]C4"</t>
  </si>
  <si>
    <t>R1C1:R7C2</t>
  </si>
  <si>
    <t>VLOOKUP</t>
  </si>
  <si>
    <t>HOW TO RECORD MACROS</t>
  </si>
  <si>
    <t>1) CLICK ON DEVELOPER TAB</t>
  </si>
  <si>
    <t>2) CLICK ON RELATIVE REFERENCE (IT HELP US TO REMOVE RESTRICTION OF CELLS</t>
  </si>
  <si>
    <t>(WHICH MEANS THAT IT WILL BE WORK AS PER ACTIVECELL NOT AS PER FIXED RANGE LIKE("A1").</t>
  </si>
  <si>
    <t>3) CLICK ON RECORD MACROS</t>
  </si>
  <si>
    <t>MACRO NAME:  - NAME YOU WANT TO GIVE TO YOUR MACRO CODE</t>
  </si>
  <si>
    <t>SHORTCUT KEY:- YOU CAN PROVIDE A SHORTCUT THOUGH WHICH YOU CAN RUN YOUR MACR.(HOWEVER IT IS RECOMMENDED THAT NEVER USE SHORTCUT KEYS BCZ IT CAN CREATE A DUPLICAY OF SHORTCUTS</t>
  </si>
  <si>
    <t>STORE MACRO:- YOU CAN SELECT HOW YOU WANT TO STORE IT</t>
  </si>
  <si>
    <t>DESCRIPTION: - IT'S AN OPTIONAL FIELD(HERE YOU CAN WRITE FULL DESCRIPTION LIKE(Recording of income statement)</t>
  </si>
  <si>
    <t>4)START DOING THE TASK</t>
  </si>
  <si>
    <t>5) WHEN YOU COMPLETE THE TASK JUST CLICK AGAIN ON STOP MACRO</t>
  </si>
  <si>
    <t>6) NOW GO TO MACROS BUTTON ON THE LEFT OG RECORD MACRO</t>
  </si>
  <si>
    <t>7) CLICK ON THAT BUTTON AND PROVIDE THE NAME U GAVE TO YOUR MACRO.</t>
  </si>
  <si>
    <t>8)RUN</t>
  </si>
  <si>
    <t>9) YOU CAN ALSO INSERT A BUTTON LIKE BUTTON 1 FROM RIBBON INSERT</t>
  </si>
  <si>
    <t>10) OR YOU CAN GO TO INSERT - SHAPE - SELECT A SHAPE - ASSIGN MACRO CODE - SELECT YOUR MACRO CODE - RUN ACCORDINGLY</t>
  </si>
  <si>
    <t>OBJECT.METHOD</t>
  </si>
  <si>
    <t>IN SIMPLE WORDS</t>
  </si>
  <si>
    <t>OBJECT: FOR WHICH ACTIVITY WILL BE PERFORMED</t>
  </si>
  <si>
    <t>OBJECT: KANHA ACTION PERFORM KERNA CHAHTE HO OR ON WHICH CELL</t>
  </si>
  <si>
    <t>METHOD: THE ACTIVITY YOU ARE PERFORMING</t>
  </si>
  <si>
    <t>METHOD: KYA PERFORM KERNA HAI (FORMULA, "TEXT",PASTE ETC.)</t>
  </si>
  <si>
    <t>UNIVERSAL SET</t>
  </si>
  <si>
    <t>EXCEL</t>
  </si>
  <si>
    <t>VBA MACROS-SINGLE</t>
  </si>
  <si>
    <t>VBA MACROS-MULTIPLE</t>
  </si>
  <si>
    <t>CELL</t>
  </si>
  <si>
    <t>CELLS</t>
  </si>
  <si>
    <t>RANGE</t>
  </si>
  <si>
    <t>ACTIVECELL</t>
  </si>
  <si>
    <t>SINGLE CELL WHICH IS SELECTED</t>
  </si>
  <si>
    <t>ROW</t>
  </si>
  <si>
    <t>ROWS</t>
  </si>
  <si>
    <t>SELECTION</t>
  </si>
  <si>
    <t>MORE THEN SINGLE CELL WHICH ARE SELECTED</t>
  </si>
  <si>
    <t>COLUMN</t>
  </si>
  <si>
    <t>COLUMNS</t>
  </si>
  <si>
    <t>WORKSHEET</t>
  </si>
  <si>
    <t>WORKSHEETS</t>
  </si>
  <si>
    <t>WORKBOOK</t>
  </si>
  <si>
    <t>WORKBOOKS</t>
  </si>
  <si>
    <t>METHOD</t>
  </si>
  <si>
    <t>VERY IMP IN CODING</t>
  </si>
  <si>
    <t>SELECT</t>
  </si>
  <si>
    <t>Msgbox</t>
  </si>
  <si>
    <t>MESSAGE BOX: IT'S A REMINDER ONLY. "SALES VALUE SHOULD BE MORE THAN 50000</t>
  </si>
  <si>
    <t>ACTIVATE</t>
  </si>
  <si>
    <t>MOST IMPORTANTLY USED</t>
  </si>
  <si>
    <t>Inputbox</t>
  </si>
  <si>
    <t>INPUT BOX: WHEN YOU ACTIVATE THE CELL ASK FOR VALUE. "ENTER ADMIN EXP"</t>
  </si>
  <si>
    <t>VALUE</t>
  </si>
  <si>
    <t>FOR EX.</t>
  </si>
  <si>
    <t>ActiveCell.Offset(1, 0).Select</t>
  </si>
  <si>
    <t>COPY</t>
  </si>
  <si>
    <t>MsgBox ("Office Exp. should not be more than 10000")</t>
  </si>
  <si>
    <t>PASTESPECIAL</t>
  </si>
  <si>
    <t>ActiveCell.Value = InputBox("Enter Office Exp.")</t>
  </si>
  <si>
    <t>FORMULA</t>
  </si>
  <si>
    <t>CELL REFERENCE WILL BE MAINTAINED AS TEXT</t>
  </si>
  <si>
    <t>: "B3"</t>
  </si>
  <si>
    <t>NOT AS B3</t>
  </si>
  <si>
    <t>OFFSET IS PART OBJECT: EX: ACTIVECELL.OFFSET(1,0).SELECT</t>
  </si>
  <si>
    <t>DIRECTION</t>
  </si>
  <si>
    <t>XLUP</t>
  </si>
  <si>
    <t>XLDOWN</t>
  </si>
  <si>
    <t>XLTORIGHT</t>
  </si>
  <si>
    <t>XLTOLEFT</t>
  </si>
  <si>
    <t>THIS YOU HAVE TO PROVIDE MANUALLY: "NAME OF FILE".</t>
  </si>
  <si>
    <t>TO REMOVE  POPUP'S LIKE "SAVE"           :      Application.DisplayAlerts = False</t>
  </si>
  <si>
    <t>SAVE                                                                   :     Workbooks("CONSOL.XLSM").Save</t>
  </si>
  <si>
    <t>OPEN WORKBOOK                                          :     Workbooks.Open "C:\Users\Dell\Desktop\Manish Data\JAN.XLSX"</t>
  </si>
  <si>
    <t>THIS YOU WILL GET FROM PROPERTIES OF FILE</t>
  </si>
  <si>
    <t>DATA TYPE IN VBA MACROS: IT IS USED TO SAVE SPACE</t>
  </si>
  <si>
    <t>NUMBER</t>
  </si>
  <si>
    <t>DATA TYPE</t>
  </si>
  <si>
    <t>SPACE</t>
  </si>
  <si>
    <t>DIM= DIMENSION (DIM IS USED IN SINGLE MODULE).</t>
  </si>
  <si>
    <t>IN BETWEEN -32767 TO +32767</t>
  </si>
  <si>
    <t>INTEGER</t>
  </si>
  <si>
    <t>2 BYTES</t>
  </si>
  <si>
    <t>PUBLIC= WITH THIS WE CAN USE THIS IN ALL MODULES</t>
  </si>
  <si>
    <t>LESS THEN -32767 OR GRTR THAN 32767</t>
  </si>
  <si>
    <t>LONG</t>
  </si>
  <si>
    <t>4 BYTES</t>
  </si>
  <si>
    <t>FOR EX: PUBLIC X AS STRING</t>
  </si>
  <si>
    <t>PUBLIC VAL1 AS LONG</t>
  </si>
  <si>
    <t>DECIMAL NUMBER</t>
  </si>
  <si>
    <t>DOUBLE</t>
  </si>
  <si>
    <t>8 BYTES</t>
  </si>
  <si>
    <t>PUBLIC VAL1 AS INTEGER</t>
  </si>
  <si>
    <t>OR</t>
  </si>
  <si>
    <t>TEXT</t>
  </si>
  <si>
    <t>FOR EX: DIM X AS STRING</t>
  </si>
  <si>
    <t>DIM VAL1 AS LONG</t>
  </si>
  <si>
    <t>FOR TEXT</t>
  </si>
  <si>
    <t>STRING</t>
  </si>
  <si>
    <t>DIM VAL1 AS INTEGER</t>
  </si>
  <si>
    <t>IF DATA TYPE IS NOT DECLARED THEN IT WILL BE "VARIENT"</t>
  </si>
  <si>
    <t>"VARIENT WILL TAKE THE SPACE OF 16 BYTES"</t>
  </si>
  <si>
    <t>LOOP: IT HELP IN PERFORMING TASK MULTIPLE TIME</t>
  </si>
  <si>
    <t>DO</t>
  </si>
  <si>
    <t>FOR</t>
  </si>
  <si>
    <t>DO-LOOPC(THIS NOT USEFUL)</t>
  </si>
  <si>
    <t>FOR-NEXT</t>
  </si>
  <si>
    <t>DO - LOOP: MEANS START WITH DO AND END WITH LOOP</t>
  </si>
  <si>
    <t>DO UNTIL-LOOP</t>
  </si>
  <si>
    <t>FOR EACH-NEXT</t>
  </si>
  <si>
    <t>DO WHILE-LOOP</t>
  </si>
  <si>
    <t>DO UNTIL-LOOP:</t>
  </si>
  <si>
    <t>WILL PERFORM THE ACTIVITY TILL CONDITION IS NOT SATISFIED</t>
  </si>
  <si>
    <t>WILL PERFORM THE ACTIVITY WHILE CONDITION IS SATISFIED</t>
  </si>
  <si>
    <t>FOR-NEXT(KYA KERNA HAI OR KITNI BAR)</t>
  </si>
  <si>
    <t>WILL PERFORM THE ACTIVITY FOR FIXED NUMBER OF STEPS</t>
  </si>
  <si>
    <t>WILL PERFORM THE ACTIVITY FOR A GROUP OF OBJECT</t>
  </si>
  <si>
    <t xml:space="preserve">IF CONDITION: </t>
  </si>
  <si>
    <t>If ActiveCell.Offset(0, -1).Value &gt;= 50 Then</t>
  </si>
  <si>
    <t>If ActiveCell.Offset(0, -1) &gt; 90 Then</t>
  </si>
  <si>
    <t>ActiveCell.Value = "A"</t>
  </si>
  <si>
    <t>ActiveCell.Value = "PASS"</t>
  </si>
  <si>
    <t>ActiveCell.Offset(0, 1).Interior.Color = vbGreen</t>
  </si>
  <si>
    <t>Else</t>
  </si>
  <si>
    <t>ActiveCell.Value = "FAIL"</t>
  </si>
  <si>
    <t>If ActiveCell.Offset(0, -1) &gt; 80 Then</t>
  </si>
  <si>
    <t>End If</t>
  </si>
  <si>
    <t>ActiveCell.Value = "B"</t>
  </si>
  <si>
    <t>ActiveCell.Offset(0, 1).Interior.Color = vbORANGE</t>
  </si>
  <si>
    <t>COLOUR</t>
  </si>
  <si>
    <t>ENDIF ( AS MANY TIMES AS IF IS OPEN)</t>
  </si>
  <si>
    <t>INTERIOR.COLOR=VBYELLOW</t>
  </si>
  <si>
    <t>FORMULATION</t>
  </si>
  <si>
    <t>CONDITION OF FORMULA'S</t>
  </si>
  <si>
    <t>1) IT SHOULD ALWAYS WRITTEN IN R[1]C[1] FORM</t>
  </si>
  <si>
    <t xml:space="preserve">2) IT SHOULD ALWAYS START : ACTIVECELL.FORMULA= "=VLOOKUP(R[1]C[0],R13C1:R19C3,MATCH(R13C[0],R13C1:R13C3,0),0)"
</t>
  </si>
  <si>
    <t>ADD IN</t>
  </si>
  <si>
    <t>means if you want to ADD ANY FORMULA TO ALL WORKBOOKS IN THE LAPTOP then do these steps and u can ADDIN the formula</t>
  </si>
  <si>
    <t>1) COPY THE CODE</t>
  </si>
  <si>
    <t>2) INTRODUCE A NEW EXCEL WORK BOOK (ANY WHERE)</t>
  </si>
  <si>
    <t>3) *** INTRODUCE A NEW MODULE IN "NEW EXCEL WORKBOOK". (ALWAYS REMEMBER **NEW EXCEL WORKBOOK**)</t>
  </si>
  <si>
    <t>4) PATE THE CODE</t>
  </si>
  <si>
    <t>5) FILE - SAVE AS - MENTION THE NAME - SELECT THE LOCATION AS PER REQUIRMENT -EXCEL ADDIN - SAVE</t>
  </si>
  <si>
    <t>ATTACHMENT</t>
  </si>
  <si>
    <t>OPEN ANY OF THE EXCEL WORKBOOK</t>
  </si>
  <si>
    <t>FILE - EXCEL OPTION - ADDIN - MANAGE -EXCEL ADDIN - GO</t>
  </si>
  <si>
    <t>BROWSE - SELECT THAT ADD IN - TICK[ ] THE BOX - OK</t>
  </si>
  <si>
    <t xml:space="preserve">DONE </t>
  </si>
  <si>
    <t>EVENT: USE FOR AUTOMATION ACCORDING TO EVENTS</t>
  </si>
  <si>
    <t>YOU WILL FIND IT IN DEVELOPER TAB- THIS WORSHEET - CHANGE GERENAL TO WORKSHEET - WITH THE HELP OF THIS YOU CAN AUTOMATE THE THINGS WHEN THIS SITUATION OCCUR LIKE WHEN THE FILE OPEN "HI" DIALOG BOX WILL SHOW US. SO YOU CAN CREATE THE DATA AS PER ACCORANCE</t>
  </si>
  <si>
    <t>ALWAYS USE THIS WORKSHEET IN EVENTS</t>
  </si>
  <si>
    <t>How to enter the date and time in vba</t>
  </si>
  <si>
    <t>enter the date in the green filed</t>
  </si>
  <si>
    <t>enter the time in the yellow filed</t>
  </si>
  <si>
    <t>DATE</t>
  </si>
  <si>
    <t>TIME</t>
  </si>
  <si>
    <t>ANS</t>
  </si>
  <si>
    <t>VBA Date:</t>
  </si>
  <si>
    <t>VBA Time:</t>
  </si>
  <si>
    <t>MSGBOX WILL GIVE THE TODAYS DATE AUTOMATICALLY IN THR SELECTED RANGE</t>
  </si>
  <si>
    <t>HOW TO CALCULATE DIFFERENCE BETWEEN 2 DATES</t>
  </si>
  <si>
    <t>REMEMBER</t>
  </si>
  <si>
    <t>IN DATE MSGBOX PLAY A VERY IMPORTANT ROLE</t>
  </si>
  <si>
    <t>DATE DIFFERENCE</t>
  </si>
  <si>
    <t>OLD DATE</t>
  </si>
  <si>
    <t>TODAY DATE</t>
  </si>
  <si>
    <t>DIFFERENCE OF DATE</t>
  </si>
  <si>
    <t>***************************************************</t>
  </si>
  <si>
    <t>************************************************************************************************************************************************</t>
  </si>
  <si>
    <t xml:space="preserve">Q) </t>
  </si>
  <si>
    <t xml:space="preserve">ANS </t>
  </si>
  <si>
    <t>Date series is like "date" formula</t>
  </si>
  <si>
    <t>Date1= Date or we can use #08/7/2019# or Inputbox or thisworksheet.sheets("sheet1").range("a1")</t>
  </si>
  <si>
    <t>Date2= Dateserial(Year(Date1),Month(Date1)+1,Day(Date1))</t>
  </si>
  <si>
    <t>It is similar to Workdays formula where we will get a date after a MONTH or Days</t>
  </si>
  <si>
    <t>(Here dateseries explain (year as integer, month as integer, day as integer)</t>
  </si>
  <si>
    <t>Year as Int.: Year from starting date.</t>
  </si>
  <si>
    <t>Month as Int.: Month from date +1 means after one month.</t>
  </si>
  <si>
    <t>Day as Int.: Means the day you want to calculate.</t>
  </si>
  <si>
    <t>msgbox(Date2)</t>
  </si>
  <si>
    <t>HOW TO WORK WITH DATE SERIAL</t>
  </si>
  <si>
    <t>Basically in Dateserial we have put year, month and date as an Integer</t>
  </si>
  <si>
    <t>Ans</t>
  </si>
  <si>
    <t>#05-04-2020#</t>
  </si>
  <si>
    <t>Q) what is hard date</t>
  </si>
  <si>
    <t>Dim X as Date</t>
  </si>
  <si>
    <t>X = date</t>
  </si>
  <si>
    <t>msgbox( X)</t>
  </si>
  <si>
    <t>X = NOW</t>
  </si>
  <si>
    <t>Just take 2 variables and subtract it in the "MSGBOX"</t>
  </si>
  <si>
    <t>How u can hide a Row throug VBA code</t>
  </si>
  <si>
    <t>Hide Rows:</t>
  </si>
  <si>
    <t>Unhide Rows:</t>
  </si>
  <si>
    <t>Hide Column:</t>
  </si>
  <si>
    <t xml:space="preserve">Unhide Column: </t>
  </si>
  <si>
    <t>Thisworkbook.sheets("Sheet1").rows(2:2).hidden=True</t>
  </si>
  <si>
    <t>Thisworkbook.sheets("Sheet1").rows(2:2).hidden=False</t>
  </si>
  <si>
    <t>Thisworkbooks.sheets("sheet1").columns("B:B").hidden=True</t>
  </si>
  <si>
    <t>Thisworkbooks.sheets("sheet1").columns("B:B").hidden=False</t>
  </si>
  <si>
    <t>How to ADD a sheet with name</t>
  </si>
  <si>
    <t>sheets.add.name="new"</t>
  </si>
  <si>
    <t>How to delete a sheet in VBA</t>
  </si>
  <si>
    <t>Application.displayalert=False</t>
  </si>
  <si>
    <t>sheets("xyz").delete</t>
  </si>
  <si>
    <t>Application.displayalert=True</t>
  </si>
  <si>
    <t>How to change the name of a sheet</t>
  </si>
  <si>
    <t>Sheets("xyz").name="ABC"</t>
  </si>
  <si>
    <t>How to get sheets name</t>
  </si>
  <si>
    <t>sheets("xyz").name</t>
  </si>
  <si>
    <t>How to make a copy of the sheet and give it a postion after which sheet it should appear</t>
  </si>
  <si>
    <t>How to move a sheet from one position to another</t>
  </si>
  <si>
    <t>How to delete a workbook from a folder</t>
  </si>
  <si>
    <t>kill(location\xlsx)</t>
  </si>
  <si>
    <t>MONTH</t>
  </si>
  <si>
    <t>Day</t>
  </si>
  <si>
    <t>Text</t>
  </si>
  <si>
    <t>Sun</t>
  </si>
  <si>
    <t>VBA</t>
  </si>
  <si>
    <t>Range("A2").DELETE</t>
  </si>
  <si>
    <t>Mon</t>
  </si>
  <si>
    <t>Range("A1:A10").DELETE</t>
  </si>
  <si>
    <t>Tue</t>
  </si>
  <si>
    <t>APR</t>
  </si>
  <si>
    <t>Wed</t>
  </si>
  <si>
    <t>Range("B4").EntireRow.DELETE</t>
  </si>
  <si>
    <t>MAY</t>
  </si>
  <si>
    <t>Thu</t>
  </si>
  <si>
    <t>Range("C3").EntireColumn.DELETE</t>
  </si>
  <si>
    <t>JUN</t>
  </si>
  <si>
    <t>Fri</t>
  </si>
  <si>
    <t>JUL</t>
  </si>
  <si>
    <t>Sat</t>
  </si>
  <si>
    <t>End Sub</t>
  </si>
  <si>
    <t>AND IF WE WANT TO INSERT THEN USE INSERT AT THE PLACE OF DELETE IN CODING</t>
  </si>
  <si>
    <t>Insert</t>
  </si>
  <si>
    <t>Sub INSERT()</t>
  </si>
  <si>
    <t>Range("A16").INSERT</t>
  </si>
  <si>
    <t>Range("A14:A21").INSERT</t>
  </si>
  <si>
    <t>Range("B16").EntireRow.INSERT</t>
  </si>
  <si>
    <t>Range("C14").EntireColumn.INSERT</t>
  </si>
  <si>
    <t>Questions for delete and insert</t>
  </si>
  <si>
    <t>In the below data delete certain Rows</t>
  </si>
  <si>
    <t>In the below data delete a complete Row</t>
  </si>
  <si>
    <t>In the below data Insert ceratin cells</t>
  </si>
  <si>
    <t>In the below data insert a complete row and column</t>
  </si>
  <si>
    <t>Answers are in white colour so that we can cross check</t>
  </si>
  <si>
    <t xml:space="preserve">Also used for date </t>
  </si>
  <si>
    <t>sheets("xyz").copy after:= sheets("GHJ")</t>
  </si>
  <si>
    <t>sheets("xyz").copy before:= sheets("GHJ")</t>
  </si>
  <si>
    <t>sheets("xyz").move after:= sheets("abx")</t>
  </si>
  <si>
    <t>INTRODUCTION</t>
  </si>
  <si>
    <t>DATE_VBA</t>
  </si>
  <si>
    <t>HIDE_VBA</t>
  </si>
  <si>
    <t>ADD_DELETE_SHEETS</t>
  </si>
  <si>
    <t>DELETE_INSERT_ROWS_COLUMNS</t>
  </si>
  <si>
    <t>VLOOKUP_REFRENCE_NOTES</t>
  </si>
  <si>
    <t>VLOOKUP_PRACTICE</t>
  </si>
  <si>
    <t>FORMS</t>
  </si>
  <si>
    <t>T</t>
  </si>
  <si>
    <t>U</t>
  </si>
  <si>
    <t>V</t>
  </si>
  <si>
    <t>W</t>
  </si>
  <si>
    <t>Z</t>
  </si>
  <si>
    <t>AA</t>
  </si>
  <si>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</sst>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b/>
      <sz val="24"/>
      <color theme="1"/>
      <name val="Calibri"/>
      <family val="2"/>
      <scheme val="minor"/>
    </font>
    <font>
      <sz val="28"/>
      <color theme="0"/>
      <name val="Calibri"/>
      <family val="2"/>
      <scheme val="minor"/>
    </font>
    <font>
      <b/>
      <sz val="15"/>
      <color theme="1"/>
      <name val="Calibri"/>
      <family val="2"/>
      <scheme val="minor"/>
    </font>
    <font>
      <sz val="11"/>
      <color rgb="FFFF0000"/>
      <name val="Calibri"/>
      <family val="2"/>
      <scheme val="minor"/>
    </font>
    <font>
      <sz val="18"/>
      <color theme="1"/>
      <name val="Calibri"/>
      <family val="2"/>
      <scheme val="minor"/>
    </font>
    <font>
      <b/>
      <i/>
      <u/>
      <sz val="11"/>
      <color theme="1"/>
      <name val="Calibri"/>
      <family val="2"/>
      <scheme val="minor"/>
    </font>
    <font>
      <i/>
      <u/>
      <sz val="11"/>
      <color theme="1"/>
      <name val="Calibri"/>
      <family val="2"/>
      <scheme val="minor"/>
    </font>
    <font>
      <b/>
      <sz val="14"/>
      <color theme="1"/>
      <name val="Calibri"/>
      <family val="2"/>
      <scheme val="minor"/>
    </font>
    <font>
      <b/>
      <sz val="8"/>
      <color theme="1"/>
      <name val="Calibri"/>
      <family val="2"/>
      <scheme val="minor"/>
    </font>
    <font>
      <sz val="15"/>
      <color theme="1"/>
      <name val="Calibri"/>
      <family val="2"/>
      <scheme val="minor"/>
    </font>
    <font>
      <b/>
      <sz val="11"/>
      <color theme="0"/>
      <name val="Calibri"/>
      <family val="2"/>
      <scheme val="minor"/>
    </font>
    <font>
      <sz val="11"/>
      <color theme="0"/>
      <name val="Calibri"/>
      <family val="2"/>
      <scheme val="minor"/>
    </font>
    <font>
      <b/>
      <sz val="11"/>
      <color theme="1"/>
      <name val="Calibri Light"/>
      <family val="2"/>
      <scheme val="major"/>
    </font>
  </fonts>
  <fills count="23">
    <fill>
      <patternFill patternType="none"/>
    </fill>
    <fill>
      <patternFill patternType="gray125"/>
    </fill>
    <fill>
      <patternFill patternType="solid">
        <fgColor rgb="FFFFFF00"/>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0000"/>
        <bgColor indexed="64"/>
      </patternFill>
    </fill>
    <fill>
      <patternFill patternType="solid">
        <fgColor rgb="FF0070C0"/>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7"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rgb="FF00B0F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1">
    <xf numFmtId="0" fontId="0" fillId="0" borderId="0"/>
  </cellStyleXfs>
  <cellXfs count="94">
    <xf numFmtId="0" fontId="0" fillId="0" borderId="0" xfId="0"/>
    <xf numFmtId="0" fontId="0" fillId="0" borderId="1" xfId="0" applyBorder="1" applyAlignment="1">
      <alignment horizontal="center"/>
    </xf>
    <xf numFmtId="9" fontId="0" fillId="0" borderId="0" xfId="0" applyNumberFormat="1"/>
    <xf numFmtId="0" fontId="1" fillId="2" borderId="0" xfId="0" applyFont="1" applyFill="1"/>
    <xf numFmtId="0" fontId="0" fillId="2" borderId="0" xfId="0" applyFill="1"/>
    <xf numFmtId="0" fontId="2" fillId="0" borderId="0" xfId="0" applyFont="1"/>
    <xf numFmtId="0" fontId="3" fillId="3" borderId="0" xfId="0" applyFont="1" applyFill="1"/>
    <xf numFmtId="0" fontId="1" fillId="0" borderId="1" xfId="0" applyFont="1" applyBorder="1" applyAlignment="1">
      <alignment horizontal="center"/>
    </xf>
    <xf numFmtId="0" fontId="0" fillId="4" borderId="1" xfId="0" applyFill="1" applyBorder="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1" fillId="5" borderId="0" xfId="0" applyFont="1" applyFill="1"/>
    <xf numFmtId="0" fontId="0" fillId="5" borderId="0" xfId="0" applyFill="1"/>
    <xf numFmtId="0" fontId="0" fillId="6" borderId="0" xfId="0" applyFill="1"/>
    <xf numFmtId="0" fontId="0" fillId="7" borderId="0" xfId="0" applyFill="1"/>
    <xf numFmtId="0" fontId="1" fillId="2" borderId="0" xfId="0" applyFont="1" applyFill="1" applyAlignment="1">
      <alignment horizontal="center" vertical="center"/>
    </xf>
    <xf numFmtId="0" fontId="0" fillId="0" borderId="0" xfId="0" applyAlignment="1">
      <alignment horizontal="center"/>
    </xf>
    <xf numFmtId="0" fontId="0" fillId="8" borderId="0" xfId="0" applyFill="1"/>
    <xf numFmtId="0" fontId="4" fillId="9" borderId="0" xfId="0" applyFont="1" applyFill="1"/>
    <xf numFmtId="0" fontId="0" fillId="9" borderId="0" xfId="0" applyFill="1"/>
    <xf numFmtId="0" fontId="1" fillId="0" borderId="0" xfId="0" applyFont="1"/>
    <xf numFmtId="0" fontId="1" fillId="0" borderId="0" xfId="0" quotePrefix="1" applyFont="1"/>
    <xf numFmtId="0" fontId="4" fillId="0" borderId="0" xfId="0" applyFont="1"/>
    <xf numFmtId="0" fontId="0" fillId="10" borderId="0" xfId="0" applyFill="1"/>
    <xf numFmtId="0" fontId="1" fillId="10" borderId="0" xfId="0" applyFont="1" applyFill="1"/>
    <xf numFmtId="20" fontId="1" fillId="10" borderId="0" xfId="0" quotePrefix="1" applyNumberFormat="1" applyFont="1" applyFill="1"/>
    <xf numFmtId="0" fontId="0" fillId="0" borderId="0" xfId="0" quotePrefix="1"/>
    <xf numFmtId="0" fontId="0" fillId="8" borderId="1" xfId="0" applyFill="1" applyBorder="1"/>
    <xf numFmtId="0" fontId="0" fillId="8" borderId="1" xfId="0" applyFill="1" applyBorder="1" applyAlignment="1">
      <alignment horizontal="center"/>
    </xf>
    <xf numFmtId="0" fontId="0" fillId="2" borderId="1" xfId="0" applyFill="1" applyBorder="1" applyAlignment="1">
      <alignment horizontal="center"/>
    </xf>
    <xf numFmtId="0" fontId="0" fillId="5" borderId="0" xfId="0" applyFill="1" applyBorder="1" applyAlignment="1">
      <alignment horizontal="left"/>
    </xf>
    <xf numFmtId="0" fontId="1" fillId="5" borderId="0" xfId="0" applyFont="1" applyFill="1" applyBorder="1" applyAlignment="1">
      <alignment horizontal="left"/>
    </xf>
    <xf numFmtId="0" fontId="0" fillId="5" borderId="1" xfId="0" applyFill="1" applyBorder="1" applyAlignment="1">
      <alignment horizontal="center"/>
    </xf>
    <xf numFmtId="0" fontId="4" fillId="2" borderId="0" xfId="0" applyFont="1" applyFill="1"/>
    <xf numFmtId="0" fontId="6" fillId="2" borderId="0" xfId="0" applyFont="1" applyFill="1"/>
    <xf numFmtId="0" fontId="7" fillId="11" borderId="0" xfId="0" applyFont="1" applyFill="1"/>
    <xf numFmtId="0" fontId="8" fillId="11" borderId="0" xfId="0" applyFont="1" applyFill="1"/>
    <xf numFmtId="0" fontId="9" fillId="12" borderId="0" xfId="0" applyFont="1" applyFill="1"/>
    <xf numFmtId="0" fontId="9" fillId="13" borderId="0" xfId="0" applyFont="1" applyFill="1"/>
    <xf numFmtId="0" fontId="9" fillId="14" borderId="0" xfId="0" applyFont="1" applyFill="1"/>
    <xf numFmtId="0" fontId="0" fillId="14" borderId="0" xfId="0" applyFill="1"/>
    <xf numFmtId="0" fontId="9" fillId="5" borderId="0" xfId="0" applyFont="1" applyFill="1"/>
    <xf numFmtId="0" fontId="9" fillId="15" borderId="0" xfId="0" applyFont="1" applyFill="1"/>
    <xf numFmtId="0" fontId="0" fillId="15" borderId="0" xfId="0" applyFill="1"/>
    <xf numFmtId="0" fontId="1" fillId="16" borderId="1" xfId="0" applyFont="1" applyFill="1" applyBorder="1"/>
    <xf numFmtId="0" fontId="0" fillId="0" borderId="1" xfId="0" applyBorder="1"/>
    <xf numFmtId="0" fontId="1" fillId="8" borderId="0" xfId="0" applyFont="1" applyFill="1"/>
    <xf numFmtId="0" fontId="1" fillId="8" borderId="1" xfId="0" applyFont="1" applyFill="1" applyBorder="1"/>
    <xf numFmtId="0" fontId="10" fillId="2" borderId="0" xfId="0" applyFont="1" applyFill="1"/>
    <xf numFmtId="0" fontId="1" fillId="8" borderId="0" xfId="0" applyFont="1" applyFill="1" applyAlignment="1">
      <alignment vertical="top"/>
    </xf>
    <xf numFmtId="0" fontId="1" fillId="17" borderId="0" xfId="0" applyFont="1" applyFill="1"/>
    <xf numFmtId="0" fontId="11" fillId="2" borderId="0" xfId="0" applyFont="1" applyFill="1"/>
    <xf numFmtId="0" fontId="0" fillId="16" borderId="0" xfId="0" applyFill="1"/>
    <xf numFmtId="0" fontId="5" fillId="0" borderId="0" xfId="0" applyFont="1"/>
    <xf numFmtId="0" fontId="1" fillId="16" borderId="0" xfId="0" applyFont="1" applyFill="1"/>
    <xf numFmtId="0" fontId="1" fillId="18" borderId="0" xfId="0" applyFont="1" applyFill="1"/>
    <xf numFmtId="0" fontId="0" fillId="18" borderId="0" xfId="0" applyFill="1"/>
    <xf numFmtId="0" fontId="13" fillId="18" borderId="0" xfId="0" applyFont="1" applyFill="1"/>
    <xf numFmtId="0" fontId="13" fillId="19" borderId="0" xfId="0" applyFont="1" applyFill="1"/>
    <xf numFmtId="14" fontId="13" fillId="18" borderId="0" xfId="0" applyNumberFormat="1" applyFont="1" applyFill="1"/>
    <xf numFmtId="0" fontId="0" fillId="2" borderId="2" xfId="0" applyFill="1" applyBorder="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0" xfId="0" applyFill="1" applyBorder="1" applyAlignment="1">
      <alignment horizontal="left" vertical="center"/>
    </xf>
    <xf numFmtId="0" fontId="0" fillId="2" borderId="6" xfId="0" applyFill="1" applyBorder="1" applyAlignment="1">
      <alignment horizontal="left" vertical="center"/>
    </xf>
    <xf numFmtId="0" fontId="0" fillId="2" borderId="8" xfId="0" applyFill="1" applyBorder="1" applyAlignment="1">
      <alignment horizontal="left" vertical="center"/>
    </xf>
    <xf numFmtId="0" fontId="0" fillId="2" borderId="9" xfId="0" applyFill="1" applyBorder="1" applyAlignment="1">
      <alignment horizontal="left" vertical="center"/>
    </xf>
    <xf numFmtId="0" fontId="1" fillId="2" borderId="7" xfId="0" applyFont="1" applyFill="1" applyBorder="1" applyAlignment="1">
      <alignment horizontal="left" vertical="center"/>
    </xf>
    <xf numFmtId="22" fontId="13" fillId="19" borderId="0" xfId="0" applyNumberFormat="1" applyFont="1" applyFill="1"/>
    <xf numFmtId="0" fontId="0" fillId="0" borderId="0" xfId="0" applyFont="1"/>
    <xf numFmtId="0" fontId="13" fillId="20" borderId="0" xfId="0" applyFont="1" applyFill="1"/>
    <xf numFmtId="0" fontId="12" fillId="19" borderId="0" xfId="0" applyFont="1" applyFill="1"/>
    <xf numFmtId="0" fontId="10" fillId="5" borderId="5" xfId="0" applyFont="1" applyFill="1" applyBorder="1" applyAlignment="1">
      <alignment horizontal="left" vertical="center"/>
    </xf>
    <xf numFmtId="14" fontId="13" fillId="19" borderId="0" xfId="0" applyNumberFormat="1" applyFont="1" applyFill="1"/>
    <xf numFmtId="0" fontId="0" fillId="22" borderId="0" xfId="0" applyFill="1"/>
    <xf numFmtId="0" fontId="1" fillId="22" borderId="0" xfId="0" applyFont="1" applyFill="1"/>
    <xf numFmtId="0" fontId="0" fillId="21" borderId="0" xfId="0" applyFill="1"/>
    <xf numFmtId="0" fontId="14" fillId="5" borderId="0" xfId="0" applyFont="1" applyFill="1"/>
    <xf numFmtId="0" fontId="0" fillId="13" borderId="0" xfId="0" applyFill="1" applyAlignment="1">
      <alignment horizontal="center"/>
    </xf>
    <xf numFmtId="0" fontId="0" fillId="13" borderId="0" xfId="0" applyFill="1"/>
    <xf numFmtId="0" fontId="13" fillId="0" borderId="2" xfId="0" applyFont="1" applyBorder="1"/>
    <xf numFmtId="0" fontId="13" fillId="0" borderId="3" xfId="0" applyFont="1" applyBorder="1"/>
    <xf numFmtId="0" fontId="13" fillId="0" borderId="4" xfId="0" applyFont="1" applyBorder="1"/>
    <xf numFmtId="0" fontId="13" fillId="0" borderId="5" xfId="0" applyFont="1" applyBorder="1"/>
    <xf numFmtId="0" fontId="13" fillId="0" borderId="0" xfId="0" applyFont="1" applyBorder="1"/>
    <xf numFmtId="0" fontId="13" fillId="0" borderId="6" xfId="0" applyFont="1" applyBorder="1"/>
    <xf numFmtId="0" fontId="13" fillId="0" borderId="7" xfId="0" applyFont="1" applyBorder="1"/>
    <xf numFmtId="0" fontId="13" fillId="0" borderId="8" xfId="0" applyFont="1" applyBorder="1"/>
    <xf numFmtId="0" fontId="13" fillId="0" borderId="9" xfId="0" applyFont="1" applyBorder="1"/>
    <xf numFmtId="14" fontId="0" fillId="0" borderId="0" xfId="0" applyNumberFormat="1"/>
    <xf numFmtId="0" fontId="0" fillId="0" borderId="10" xfId="0" applyBorder="1" applyAlignment="1">
      <alignment horizontal="center"/>
    </xf>
    <xf numFmtId="0" fontId="1" fillId="0" borderId="1" xfId="0" applyFont="1" applyBorder="1"/>
    <xf numFmtId="1" fontId="0" fillId="21" borderId="0" xfId="0" applyNumberForma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247650</xdr:colOff>
      <xdr:row>1</xdr:row>
      <xdr:rowOff>9525</xdr:rowOff>
    </xdr:from>
    <xdr:to>
      <xdr:col>1</xdr:col>
      <xdr:colOff>552450</xdr:colOff>
      <xdr:row>5</xdr:row>
      <xdr:rowOff>161925</xdr:rowOff>
    </xdr:to>
    <xdr:sp macro="[0]!Macro2" textlink="">
      <xdr:nvSpPr>
        <xdr:cNvPr id="2" name="Rectangle 1">
          <a:extLst>
            <a:ext uri="{FF2B5EF4-FFF2-40B4-BE49-F238E27FC236}">
              <a16:creationId xmlns:a16="http://schemas.microsoft.com/office/drawing/2014/main" id="{E5B3B6B9-C0A4-49AB-AAB1-941CBA6C8D88}"/>
            </a:ext>
          </a:extLst>
        </xdr:cNvPr>
        <xdr:cNvSpPr/>
      </xdr:nvSpPr>
      <xdr:spPr>
        <a:xfrm>
          <a:off x="247650" y="200025"/>
          <a:ext cx="914400" cy="914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Run</a:t>
          </a:r>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11</xdr:row>
      <xdr:rowOff>103187</xdr:rowOff>
    </xdr:from>
    <xdr:to>
      <xdr:col>10</xdr:col>
      <xdr:colOff>7938</xdr:colOff>
      <xdr:row>11</xdr:row>
      <xdr:rowOff>103187</xdr:rowOff>
    </xdr:to>
    <xdr:cxnSp macro="">
      <xdr:nvCxnSpPr>
        <xdr:cNvPr id="2" name="Straight Connector 1">
          <a:extLst>
            <a:ext uri="{FF2B5EF4-FFF2-40B4-BE49-F238E27FC236}">
              <a16:creationId xmlns:a16="http://schemas.microsoft.com/office/drawing/2014/main" id="{8999CF4E-BA74-4784-BDE5-DF2115B92415}"/>
            </a:ext>
          </a:extLst>
        </xdr:cNvPr>
        <xdr:cNvCxnSpPr/>
      </xdr:nvCxnSpPr>
      <xdr:spPr>
        <a:xfrm>
          <a:off x="3886200" y="2398712"/>
          <a:ext cx="5932488" cy="0"/>
        </a:xfrm>
        <a:prstGeom prst="line">
          <a:avLst/>
        </a:prstGeom>
        <a:ln w="254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579438</xdr:colOff>
      <xdr:row>22</xdr:row>
      <xdr:rowOff>7937</xdr:rowOff>
    </xdr:from>
    <xdr:to>
      <xdr:col>3</xdr:col>
      <xdr:colOff>587375</xdr:colOff>
      <xdr:row>23</xdr:row>
      <xdr:rowOff>142875</xdr:rowOff>
    </xdr:to>
    <xdr:cxnSp macro="">
      <xdr:nvCxnSpPr>
        <xdr:cNvPr id="3" name="Straight Arrow Connector 2">
          <a:extLst>
            <a:ext uri="{FF2B5EF4-FFF2-40B4-BE49-F238E27FC236}">
              <a16:creationId xmlns:a16="http://schemas.microsoft.com/office/drawing/2014/main" id="{5CCB160F-30DB-466D-98B6-42AAABF090CA}"/>
            </a:ext>
          </a:extLst>
        </xdr:cNvPr>
        <xdr:cNvCxnSpPr/>
      </xdr:nvCxnSpPr>
      <xdr:spPr>
        <a:xfrm>
          <a:off x="5961063" y="4484687"/>
          <a:ext cx="7937" cy="325438"/>
        </a:xfrm>
        <a:prstGeom prst="straightConnector1">
          <a:avLst/>
        </a:prstGeom>
        <a:ln w="3175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503239</xdr:colOff>
      <xdr:row>31</xdr:row>
      <xdr:rowOff>111125</xdr:rowOff>
    </xdr:from>
    <xdr:to>
      <xdr:col>4</xdr:col>
      <xdr:colOff>354013</xdr:colOff>
      <xdr:row>33</xdr:row>
      <xdr:rowOff>31750</xdr:rowOff>
    </xdr:to>
    <xdr:sp macro="" textlink="">
      <xdr:nvSpPr>
        <xdr:cNvPr id="4" name="Left Brace 3">
          <a:extLst>
            <a:ext uri="{FF2B5EF4-FFF2-40B4-BE49-F238E27FC236}">
              <a16:creationId xmlns:a16="http://schemas.microsoft.com/office/drawing/2014/main" id="{9B4204FA-8AFC-4C55-B8F6-78ADAAE67E8D}"/>
            </a:ext>
          </a:extLst>
        </xdr:cNvPr>
        <xdr:cNvSpPr/>
      </xdr:nvSpPr>
      <xdr:spPr>
        <a:xfrm rot="5400000">
          <a:off x="5964238" y="6223001"/>
          <a:ext cx="301625" cy="460374"/>
        </a:xfrm>
        <a:prstGeom prst="leftBrace">
          <a:avLst/>
        </a:prstGeom>
        <a:ln w="254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2491585</xdr:colOff>
      <xdr:row>33</xdr:row>
      <xdr:rowOff>173037</xdr:rowOff>
    </xdr:from>
    <xdr:to>
      <xdr:col>3</xdr:col>
      <xdr:colOff>465138</xdr:colOff>
      <xdr:row>35</xdr:row>
      <xdr:rowOff>34130</xdr:rowOff>
    </xdr:to>
    <xdr:sp macro="" textlink="">
      <xdr:nvSpPr>
        <xdr:cNvPr id="5" name="Left Brace 4">
          <a:extLst>
            <a:ext uri="{FF2B5EF4-FFF2-40B4-BE49-F238E27FC236}">
              <a16:creationId xmlns:a16="http://schemas.microsoft.com/office/drawing/2014/main" id="{4F723F37-4290-4977-9327-3ACC518994AF}"/>
            </a:ext>
          </a:extLst>
        </xdr:cNvPr>
        <xdr:cNvSpPr/>
      </xdr:nvSpPr>
      <xdr:spPr>
        <a:xfrm rot="16200000">
          <a:off x="4048127" y="5188745"/>
          <a:ext cx="242093" cy="3355178"/>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571500</xdr:colOff>
      <xdr:row>93</xdr:row>
      <xdr:rowOff>7937</xdr:rowOff>
    </xdr:from>
    <xdr:to>
      <xdr:col>0</xdr:col>
      <xdr:colOff>571500</xdr:colOff>
      <xdr:row>93</xdr:row>
      <xdr:rowOff>174625</xdr:rowOff>
    </xdr:to>
    <xdr:cxnSp macro="">
      <xdr:nvCxnSpPr>
        <xdr:cNvPr id="6" name="Straight Arrow Connector 5">
          <a:extLst>
            <a:ext uri="{FF2B5EF4-FFF2-40B4-BE49-F238E27FC236}">
              <a16:creationId xmlns:a16="http://schemas.microsoft.com/office/drawing/2014/main" id="{D03AEDFB-BCE8-4843-9B00-89C63F7AD692}"/>
            </a:ext>
          </a:extLst>
        </xdr:cNvPr>
        <xdr:cNvCxnSpPr/>
      </xdr:nvCxnSpPr>
      <xdr:spPr>
        <a:xfrm>
          <a:off x="571500" y="18067337"/>
          <a:ext cx="0" cy="166688"/>
        </a:xfrm>
        <a:prstGeom prst="straightConnector1">
          <a:avLst/>
        </a:prstGeom>
        <a:ln w="34925">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266699</xdr:colOff>
      <xdr:row>1</xdr:row>
      <xdr:rowOff>76200</xdr:rowOff>
    </xdr:from>
    <xdr:to>
      <xdr:col>7</xdr:col>
      <xdr:colOff>333374</xdr:colOff>
      <xdr:row>6</xdr:row>
      <xdr:rowOff>171450</xdr:rowOff>
    </xdr:to>
    <xdr:sp macro="[0]!Practice_after_python.SHEET1" textlink="">
      <xdr:nvSpPr>
        <xdr:cNvPr id="2" name="Star: 5 Points 1">
          <a:extLst>
            <a:ext uri="{FF2B5EF4-FFF2-40B4-BE49-F238E27FC236}">
              <a16:creationId xmlns:a16="http://schemas.microsoft.com/office/drawing/2014/main" id="{936E877B-0B16-4B8A-8A41-7A0A4DBC6359}"/>
            </a:ext>
          </a:extLst>
        </xdr:cNvPr>
        <xdr:cNvSpPr/>
      </xdr:nvSpPr>
      <xdr:spPr>
        <a:xfrm>
          <a:off x="3314699" y="266700"/>
          <a:ext cx="1285875" cy="1047750"/>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Run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419101</xdr:colOff>
      <xdr:row>12</xdr:row>
      <xdr:rowOff>123827</xdr:rowOff>
    </xdr:from>
    <xdr:to>
      <xdr:col>7</xdr:col>
      <xdr:colOff>581025</xdr:colOff>
      <xdr:row>15</xdr:row>
      <xdr:rowOff>104775</xdr:rowOff>
    </xdr:to>
    <xdr:cxnSp macro="">
      <xdr:nvCxnSpPr>
        <xdr:cNvPr id="2" name="Straight Arrow Connector 1">
          <a:extLst>
            <a:ext uri="{FF2B5EF4-FFF2-40B4-BE49-F238E27FC236}">
              <a16:creationId xmlns:a16="http://schemas.microsoft.com/office/drawing/2014/main" id="{42F350AE-0AD8-46CB-90A0-F5EE8C0D24EA}"/>
            </a:ext>
          </a:extLst>
        </xdr:cNvPr>
        <xdr:cNvCxnSpPr/>
      </xdr:nvCxnSpPr>
      <xdr:spPr>
        <a:xfrm flipH="1" flipV="1">
          <a:off x="419101" y="2466977"/>
          <a:ext cx="4429124" cy="55244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600075</xdr:colOff>
      <xdr:row>16</xdr:row>
      <xdr:rowOff>123825</xdr:rowOff>
    </xdr:from>
    <xdr:to>
      <xdr:col>7</xdr:col>
      <xdr:colOff>600075</xdr:colOff>
      <xdr:row>18</xdr:row>
      <xdr:rowOff>95250</xdr:rowOff>
    </xdr:to>
    <xdr:cxnSp macro="">
      <xdr:nvCxnSpPr>
        <xdr:cNvPr id="3" name="Straight Arrow Connector 2">
          <a:extLst>
            <a:ext uri="{FF2B5EF4-FFF2-40B4-BE49-F238E27FC236}">
              <a16:creationId xmlns:a16="http://schemas.microsoft.com/office/drawing/2014/main" id="{9260FFA4-1DC1-40C3-8EBF-DCA3732813FA}"/>
            </a:ext>
          </a:extLst>
        </xdr:cNvPr>
        <xdr:cNvCxnSpPr/>
      </xdr:nvCxnSpPr>
      <xdr:spPr>
        <a:xfrm flipH="1">
          <a:off x="1819275" y="3228975"/>
          <a:ext cx="3048000" cy="3524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228600</xdr:colOff>
      <xdr:row>12</xdr:row>
      <xdr:rowOff>161925</xdr:rowOff>
    </xdr:from>
    <xdr:to>
      <xdr:col>9</xdr:col>
      <xdr:colOff>28575</xdr:colOff>
      <xdr:row>21</xdr:row>
      <xdr:rowOff>76200</xdr:rowOff>
    </xdr:to>
    <xdr:cxnSp macro="">
      <xdr:nvCxnSpPr>
        <xdr:cNvPr id="4" name="Straight Arrow Connector 3">
          <a:extLst>
            <a:ext uri="{FF2B5EF4-FFF2-40B4-BE49-F238E27FC236}">
              <a16:creationId xmlns:a16="http://schemas.microsoft.com/office/drawing/2014/main" id="{332FE80A-32DE-4096-BB5C-A7D043F1B64F}"/>
            </a:ext>
          </a:extLst>
        </xdr:cNvPr>
        <xdr:cNvCxnSpPr/>
      </xdr:nvCxnSpPr>
      <xdr:spPr>
        <a:xfrm flipH="1" flipV="1">
          <a:off x="2667000" y="2505075"/>
          <a:ext cx="2847975" cy="1685925"/>
        </a:xfrm>
        <a:prstGeom prst="straightConnector1">
          <a:avLst/>
        </a:prstGeom>
        <a:ln w="25400">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123825</xdr:colOff>
      <xdr:row>35</xdr:row>
      <xdr:rowOff>133350</xdr:rowOff>
    </xdr:from>
    <xdr:to>
      <xdr:col>7</xdr:col>
      <xdr:colOff>504825</xdr:colOff>
      <xdr:row>35</xdr:row>
      <xdr:rowOff>133350</xdr:rowOff>
    </xdr:to>
    <xdr:cxnSp macro="">
      <xdr:nvCxnSpPr>
        <xdr:cNvPr id="5" name="Straight Arrow Connector 4">
          <a:extLst>
            <a:ext uri="{FF2B5EF4-FFF2-40B4-BE49-F238E27FC236}">
              <a16:creationId xmlns:a16="http://schemas.microsoft.com/office/drawing/2014/main" id="{48A6BAB8-1426-4118-8737-E324254FF316}"/>
            </a:ext>
          </a:extLst>
        </xdr:cNvPr>
        <xdr:cNvCxnSpPr/>
      </xdr:nvCxnSpPr>
      <xdr:spPr>
        <a:xfrm flipH="1">
          <a:off x="4391025" y="6915150"/>
          <a:ext cx="381000" cy="0"/>
        </a:xfrm>
        <a:prstGeom prst="straightConnector1">
          <a:avLst/>
        </a:prstGeom>
        <a:ln w="254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514350</xdr:colOff>
      <xdr:row>6</xdr:row>
      <xdr:rowOff>9525</xdr:rowOff>
    </xdr:from>
    <xdr:to>
      <xdr:col>9</xdr:col>
      <xdr:colOff>238125</xdr:colOff>
      <xdr:row>15</xdr:row>
      <xdr:rowOff>9525</xdr:rowOff>
    </xdr:to>
    <xdr:cxnSp macro="">
      <xdr:nvCxnSpPr>
        <xdr:cNvPr id="6" name="Straight Arrow Connector 5">
          <a:extLst>
            <a:ext uri="{FF2B5EF4-FFF2-40B4-BE49-F238E27FC236}">
              <a16:creationId xmlns:a16="http://schemas.microsoft.com/office/drawing/2014/main" id="{1C8A8832-750A-4E49-B236-5C720B157459}"/>
            </a:ext>
          </a:extLst>
        </xdr:cNvPr>
        <xdr:cNvCxnSpPr/>
      </xdr:nvCxnSpPr>
      <xdr:spPr>
        <a:xfrm>
          <a:off x="4781550" y="1209675"/>
          <a:ext cx="942975" cy="1714500"/>
        </a:xfrm>
        <a:prstGeom prst="straightConnector1">
          <a:avLst/>
        </a:prstGeom>
        <a:ln w="22225">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26459</xdr:colOff>
      <xdr:row>0</xdr:row>
      <xdr:rowOff>9525</xdr:rowOff>
    </xdr:from>
    <xdr:to>
      <xdr:col>14</xdr:col>
      <xdr:colOff>153459</xdr:colOff>
      <xdr:row>34</xdr:row>
      <xdr:rowOff>15875</xdr:rowOff>
    </xdr:to>
    <xdr:pic>
      <xdr:nvPicPr>
        <xdr:cNvPr id="2" name="Picture 1">
          <a:extLst>
            <a:ext uri="{FF2B5EF4-FFF2-40B4-BE49-F238E27FC236}">
              <a16:creationId xmlns:a16="http://schemas.microsoft.com/office/drawing/2014/main" id="{8F738239-69EF-4B2B-88E9-5A6CD1D126F7}"/>
            </a:ext>
          </a:extLst>
        </xdr:cNvPr>
        <xdr:cNvPicPr>
          <a:picLocks noChangeAspect="1"/>
        </xdr:cNvPicPr>
      </xdr:nvPicPr>
      <xdr:blipFill rotWithShape="1">
        <a:blip xmlns:r="http://schemas.openxmlformats.org/officeDocument/2006/relationships" r:embed="rId1"/>
        <a:srcRect l="26120" t="4558" r="16656" b="6802"/>
        <a:stretch/>
      </xdr:blipFill>
      <xdr:spPr>
        <a:xfrm>
          <a:off x="1254126" y="9525"/>
          <a:ext cx="7493000" cy="64833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187D7-628D-43A6-A637-18E75D768989}">
  <sheetPr codeName="Sheet1"/>
  <dimension ref="A1:X35"/>
  <sheetViews>
    <sheetView topLeftCell="N1" workbookViewId="0">
      <selection activeCell="X1" sqref="X1"/>
    </sheetView>
  </sheetViews>
  <sheetFormatPr defaultRowHeight="15" x14ac:dyDescent="0.25"/>
  <sheetData>
    <row r="1" spans="1:24" x14ac:dyDescent="0.25">
      <c r="X1">
        <v>20</v>
      </c>
    </row>
    <row r="6" spans="1:24" x14ac:dyDescent="0.25">
      <c r="G6" t="s">
        <v>4</v>
      </c>
      <c r="H6" t="s">
        <v>5</v>
      </c>
    </row>
    <row r="7" spans="1:24" x14ac:dyDescent="0.25">
      <c r="A7" s="1"/>
      <c r="B7" s="1" t="s">
        <v>4</v>
      </c>
      <c r="C7" s="1" t="s">
        <v>5</v>
      </c>
      <c r="F7" t="s">
        <v>0</v>
      </c>
      <c r="G7">
        <v>10000</v>
      </c>
      <c r="H7">
        <v>2011</v>
      </c>
    </row>
    <row r="8" spans="1:24" x14ac:dyDescent="0.25">
      <c r="A8" s="1" t="s">
        <v>0</v>
      </c>
      <c r="B8" s="1">
        <v>10000</v>
      </c>
      <c r="C8" s="1">
        <v>2011</v>
      </c>
      <c r="F8" t="s">
        <v>1</v>
      </c>
      <c r="G8">
        <v>1234</v>
      </c>
      <c r="H8">
        <v>2020</v>
      </c>
    </row>
    <row r="9" spans="1:24" x14ac:dyDescent="0.25">
      <c r="A9" s="1" t="s">
        <v>1</v>
      </c>
      <c r="B9" s="1">
        <v>1234</v>
      </c>
      <c r="C9" s="1">
        <v>2020</v>
      </c>
      <c r="F9" t="s">
        <v>2</v>
      </c>
      <c r="G9">
        <v>1257</v>
      </c>
      <c r="H9">
        <v>2021</v>
      </c>
    </row>
    <row r="10" spans="1:24" x14ac:dyDescent="0.25">
      <c r="A10" s="1" t="s">
        <v>2</v>
      </c>
      <c r="B10" s="1">
        <v>1257</v>
      </c>
      <c r="C10" s="1">
        <v>2021</v>
      </c>
      <c r="F10" t="s">
        <v>3</v>
      </c>
      <c r="G10">
        <v>98776</v>
      </c>
      <c r="H10">
        <v>2022</v>
      </c>
    </row>
    <row r="11" spans="1:24" x14ac:dyDescent="0.25">
      <c r="A11" s="1" t="s">
        <v>3</v>
      </c>
      <c r="B11" s="1">
        <v>98776</v>
      </c>
      <c r="C11" s="1">
        <v>2022</v>
      </c>
    </row>
    <row r="17" spans="1:4" ht="19.5" x14ac:dyDescent="0.3">
      <c r="A17" s="33" t="s">
        <v>148</v>
      </c>
      <c r="B17" s="4"/>
      <c r="C17" s="4"/>
      <c r="D17" s="4"/>
    </row>
    <row r="18" spans="1:4" x14ac:dyDescent="0.25">
      <c r="A18" s="20" t="s">
        <v>149</v>
      </c>
    </row>
    <row r="19" spans="1:4" x14ac:dyDescent="0.25">
      <c r="A19" s="20" t="s">
        <v>150</v>
      </c>
    </row>
    <row r="20" spans="1:4" x14ac:dyDescent="0.25">
      <c r="A20" t="s">
        <v>151</v>
      </c>
    </row>
    <row r="22" spans="1:4" x14ac:dyDescent="0.25">
      <c r="A22" s="20" t="s">
        <v>152</v>
      </c>
    </row>
    <row r="23" spans="1:4" x14ac:dyDescent="0.25">
      <c r="A23" t="s">
        <v>153</v>
      </c>
    </row>
    <row r="24" spans="1:4" x14ac:dyDescent="0.25">
      <c r="A24" t="s">
        <v>154</v>
      </c>
    </row>
    <row r="25" spans="1:4" x14ac:dyDescent="0.25">
      <c r="A25" t="s">
        <v>155</v>
      </c>
    </row>
    <row r="27" spans="1:4" x14ac:dyDescent="0.25">
      <c r="A27" t="s">
        <v>156</v>
      </c>
    </row>
    <row r="29" spans="1:4" x14ac:dyDescent="0.25">
      <c r="A29" s="20" t="s">
        <v>157</v>
      </c>
    </row>
    <row r="30" spans="1:4" x14ac:dyDescent="0.25">
      <c r="A30" s="20" t="s">
        <v>158</v>
      </c>
    </row>
    <row r="31" spans="1:4" x14ac:dyDescent="0.25">
      <c r="A31" s="20" t="s">
        <v>159</v>
      </c>
    </row>
    <row r="32" spans="1:4" x14ac:dyDescent="0.25">
      <c r="A32" s="20" t="s">
        <v>160</v>
      </c>
    </row>
    <row r="33" spans="1:1" x14ac:dyDescent="0.25">
      <c r="A33" s="20" t="s">
        <v>161</v>
      </c>
    </row>
    <row r="34" spans="1:1" x14ac:dyDescent="0.25">
      <c r="A34" s="20" t="s">
        <v>162</v>
      </c>
    </row>
    <row r="35" spans="1:1" x14ac:dyDescent="0.25">
      <c r="A35" s="20" t="s">
        <v>163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2FE27-0277-4F80-89B7-8F92DF45A0C3}">
  <sheetPr codeName="Sheet24"/>
  <dimension ref="A1:X105"/>
  <sheetViews>
    <sheetView topLeftCell="N1" workbookViewId="0">
      <selection activeCell="X1" sqref="X1"/>
    </sheetView>
  </sheetViews>
  <sheetFormatPr defaultRowHeight="15" x14ac:dyDescent="0.25"/>
  <cols>
    <col min="1" max="1" width="38.28515625" customWidth="1"/>
    <col min="2" max="2" width="20" bestFit="1" customWidth="1"/>
    <col min="3" max="3" width="22.42578125" bestFit="1" customWidth="1"/>
    <col min="5" max="5" width="11.5703125" bestFit="1" customWidth="1"/>
  </cols>
  <sheetData>
    <row r="1" spans="1:24" ht="23.25" x14ac:dyDescent="0.35">
      <c r="A1" s="34" t="s">
        <v>164</v>
      </c>
      <c r="B1" s="34"/>
      <c r="C1" s="4"/>
      <c r="X1">
        <v>20</v>
      </c>
    </row>
    <row r="2" spans="1:24" x14ac:dyDescent="0.25">
      <c r="E2" s="35" t="s">
        <v>165</v>
      </c>
      <c r="F2" s="36"/>
    </row>
    <row r="3" spans="1:24" ht="18.75" x14ac:dyDescent="0.3">
      <c r="A3" s="37" t="s">
        <v>166</v>
      </c>
      <c r="B3" s="37"/>
      <c r="C3" s="37"/>
      <c r="D3" s="38"/>
      <c r="E3" s="39" t="s">
        <v>167</v>
      </c>
      <c r="F3" s="39"/>
      <c r="G3" s="39"/>
      <c r="H3" s="40"/>
      <c r="I3" s="40"/>
      <c r="J3" s="40"/>
      <c r="K3" s="40"/>
      <c r="L3" s="40"/>
      <c r="M3" s="40"/>
    </row>
    <row r="4" spans="1:24" ht="18.75" x14ac:dyDescent="0.3">
      <c r="A4" s="41" t="s">
        <v>168</v>
      </c>
      <c r="B4" s="41"/>
      <c r="C4" s="41"/>
      <c r="D4" s="38"/>
      <c r="E4" s="42" t="s">
        <v>169</v>
      </c>
      <c r="F4" s="42"/>
      <c r="G4" s="42"/>
      <c r="H4" s="43"/>
      <c r="I4" s="43"/>
      <c r="J4" s="43"/>
      <c r="K4" s="43"/>
      <c r="L4" s="43"/>
      <c r="M4" s="43"/>
    </row>
    <row r="5" spans="1:24" x14ac:dyDescent="0.25">
      <c r="C5" s="44" t="s">
        <v>170</v>
      </c>
      <c r="D5" s="45"/>
      <c r="E5" s="45"/>
      <c r="F5" s="45"/>
      <c r="G5" s="45"/>
      <c r="H5" s="45"/>
      <c r="I5" s="45"/>
      <c r="J5" s="45"/>
    </row>
    <row r="6" spans="1:24" x14ac:dyDescent="0.25">
      <c r="A6" s="46" t="s">
        <v>171</v>
      </c>
      <c r="B6" s="46" t="s">
        <v>172</v>
      </c>
      <c r="C6" s="47" t="s">
        <v>173</v>
      </c>
      <c r="D6" s="45"/>
      <c r="E6" s="45"/>
      <c r="F6" s="45"/>
      <c r="G6" s="45"/>
      <c r="H6" s="45"/>
      <c r="I6" s="45"/>
      <c r="J6" s="45"/>
    </row>
    <row r="7" spans="1:24" x14ac:dyDescent="0.25">
      <c r="A7" t="s">
        <v>174</v>
      </c>
      <c r="B7" t="s">
        <v>175</v>
      </c>
      <c r="C7" s="45" t="s">
        <v>176</v>
      </c>
      <c r="D7" s="45"/>
      <c r="E7" s="44" t="s">
        <v>177</v>
      </c>
      <c r="F7" s="45" t="s">
        <v>178</v>
      </c>
      <c r="G7" s="45"/>
      <c r="H7" s="45"/>
      <c r="I7" s="45"/>
      <c r="J7" s="45"/>
    </row>
    <row r="8" spans="1:24" x14ac:dyDescent="0.25">
      <c r="A8" t="s">
        <v>179</v>
      </c>
      <c r="B8" t="s">
        <v>180</v>
      </c>
      <c r="C8" s="45" t="s">
        <v>180</v>
      </c>
      <c r="D8" s="45"/>
      <c r="E8" s="44" t="s">
        <v>181</v>
      </c>
      <c r="F8" s="45" t="s">
        <v>182</v>
      </c>
      <c r="G8" s="45"/>
      <c r="H8" s="45"/>
      <c r="I8" s="45"/>
      <c r="J8" s="45"/>
    </row>
    <row r="9" spans="1:24" x14ac:dyDescent="0.25">
      <c r="A9" t="s">
        <v>183</v>
      </c>
      <c r="B9" t="s">
        <v>184</v>
      </c>
      <c r="C9" s="45" t="s">
        <v>184</v>
      </c>
      <c r="D9" s="45"/>
      <c r="E9" s="45"/>
      <c r="F9" s="45"/>
      <c r="G9" s="45"/>
      <c r="H9" s="45"/>
      <c r="I9" s="45"/>
      <c r="J9" s="45"/>
    </row>
    <row r="10" spans="1:24" x14ac:dyDescent="0.25">
      <c r="A10" t="s">
        <v>185</v>
      </c>
      <c r="B10" t="s">
        <v>186</v>
      </c>
      <c r="C10" s="45" t="s">
        <v>186</v>
      </c>
      <c r="D10" s="45"/>
      <c r="E10" s="45"/>
      <c r="F10" s="45"/>
      <c r="G10" s="45"/>
      <c r="H10" s="45"/>
      <c r="I10" s="45"/>
      <c r="J10" s="45"/>
    </row>
    <row r="11" spans="1:24" x14ac:dyDescent="0.25">
      <c r="A11" t="s">
        <v>187</v>
      </c>
      <c r="B11" t="s">
        <v>188</v>
      </c>
      <c r="C11" s="45" t="s">
        <v>188</v>
      </c>
      <c r="D11" s="45"/>
      <c r="E11" s="45"/>
      <c r="F11" s="45"/>
      <c r="G11" s="45"/>
      <c r="H11" s="45"/>
      <c r="I11" s="45"/>
      <c r="J11" s="45"/>
    </row>
    <row r="13" spans="1:24" x14ac:dyDescent="0.25">
      <c r="A13" s="3" t="s">
        <v>189</v>
      </c>
      <c r="H13" t="s">
        <v>190</v>
      </c>
    </row>
    <row r="14" spans="1:24" x14ac:dyDescent="0.25">
      <c r="A14" t="s">
        <v>191</v>
      </c>
      <c r="G14" s="20" t="s">
        <v>192</v>
      </c>
      <c r="H14" s="48" t="s">
        <v>193</v>
      </c>
      <c r="I14" s="4"/>
      <c r="J14" s="4"/>
      <c r="K14" s="4"/>
      <c r="L14" s="4"/>
      <c r="M14" s="4"/>
      <c r="N14" s="12" t="s">
        <v>391</v>
      </c>
      <c r="O14" s="12"/>
    </row>
    <row r="15" spans="1:24" x14ac:dyDescent="0.25">
      <c r="A15" t="s">
        <v>194</v>
      </c>
      <c r="D15" s="20" t="s">
        <v>195</v>
      </c>
      <c r="G15" s="20" t="s">
        <v>196</v>
      </c>
      <c r="H15" s="48" t="s">
        <v>197</v>
      </c>
      <c r="I15" s="4"/>
      <c r="J15" s="4"/>
      <c r="K15" s="4"/>
      <c r="L15" s="4"/>
      <c r="M15" s="4"/>
      <c r="N15" s="4"/>
    </row>
    <row r="16" spans="1:24" ht="17.25" customHeight="1" x14ac:dyDescent="0.25">
      <c r="A16" t="s">
        <v>198</v>
      </c>
      <c r="G16" s="46" t="s">
        <v>199</v>
      </c>
      <c r="H16" s="49" t="s">
        <v>200</v>
      </c>
      <c r="I16" s="17"/>
      <c r="J16" s="17"/>
      <c r="K16" s="17"/>
      <c r="L16" s="17"/>
      <c r="M16" s="17"/>
    </row>
    <row r="17" spans="1:13" x14ac:dyDescent="0.25">
      <c r="A17" t="s">
        <v>201</v>
      </c>
      <c r="H17" s="46" t="s">
        <v>202</v>
      </c>
      <c r="I17" s="46"/>
      <c r="J17" s="46"/>
      <c r="K17" s="46"/>
      <c r="L17" s="46"/>
      <c r="M17" s="46"/>
    </row>
    <row r="18" spans="1:13" x14ac:dyDescent="0.25">
      <c r="A18" t="s">
        <v>203</v>
      </c>
      <c r="H18" s="46" t="s">
        <v>204</v>
      </c>
      <c r="I18" s="46"/>
      <c r="J18" s="46"/>
      <c r="K18" s="46"/>
      <c r="L18" s="46"/>
      <c r="M18" s="46"/>
    </row>
    <row r="19" spans="1:13" x14ac:dyDescent="0.25">
      <c r="A19" t="s">
        <v>205</v>
      </c>
    </row>
    <row r="22" spans="1:13" ht="19.5" x14ac:dyDescent="0.3">
      <c r="A22" s="3" t="s">
        <v>206</v>
      </c>
      <c r="B22" s="3"/>
      <c r="C22" s="3"/>
      <c r="D22" s="22" t="s">
        <v>207</v>
      </c>
      <c r="E22" s="20" t="s">
        <v>208</v>
      </c>
    </row>
    <row r="24" spans="1:13" x14ac:dyDescent="0.25">
      <c r="A24" s="46" t="s">
        <v>209</v>
      </c>
      <c r="B24" s="17"/>
      <c r="C24" s="17"/>
      <c r="D24" s="17"/>
    </row>
    <row r="26" spans="1:13" x14ac:dyDescent="0.25">
      <c r="A26" s="3" t="s">
        <v>210</v>
      </c>
    </row>
    <row r="27" spans="1:13" x14ac:dyDescent="0.25">
      <c r="A27" t="s">
        <v>211</v>
      </c>
    </row>
    <row r="28" spans="1:13" x14ac:dyDescent="0.25">
      <c r="A28" t="s">
        <v>212</v>
      </c>
    </row>
    <row r="29" spans="1:13" x14ac:dyDescent="0.25">
      <c r="A29" t="s">
        <v>213</v>
      </c>
    </row>
    <row r="30" spans="1:13" x14ac:dyDescent="0.25">
      <c r="A30" t="s">
        <v>214</v>
      </c>
    </row>
    <row r="31" spans="1:13" x14ac:dyDescent="0.25">
      <c r="E31" s="20" t="s">
        <v>215</v>
      </c>
    </row>
    <row r="32" spans="1:13" x14ac:dyDescent="0.25">
      <c r="A32" s="3" t="s">
        <v>216</v>
      </c>
      <c r="B32" s="4"/>
    </row>
    <row r="33" spans="1:10" x14ac:dyDescent="0.25">
      <c r="A33" s="46" t="s">
        <v>217</v>
      </c>
      <c r="B33" s="46"/>
      <c r="C33" s="46"/>
    </row>
    <row r="34" spans="1:10" x14ac:dyDescent="0.25">
      <c r="A34" s="50" t="s">
        <v>218</v>
      </c>
      <c r="B34" s="50"/>
      <c r="C34" s="50"/>
      <c r="D34" s="50"/>
      <c r="E34" s="50"/>
    </row>
    <row r="36" spans="1:10" x14ac:dyDescent="0.25">
      <c r="B36" s="20" t="s">
        <v>219</v>
      </c>
    </row>
    <row r="38" spans="1:10" x14ac:dyDescent="0.25">
      <c r="A38" s="3" t="s">
        <v>220</v>
      </c>
      <c r="B38" s="4"/>
    </row>
    <row r="40" spans="1:10" x14ac:dyDescent="0.25">
      <c r="A40" s="3" t="s">
        <v>221</v>
      </c>
      <c r="B40" s="3" t="s">
        <v>222</v>
      </c>
      <c r="C40" s="3" t="s">
        <v>223</v>
      </c>
      <c r="E40" s="3" t="s">
        <v>224</v>
      </c>
      <c r="F40" s="3"/>
      <c r="G40" s="3"/>
      <c r="H40" s="3"/>
      <c r="I40" s="3"/>
      <c r="J40" s="3"/>
    </row>
    <row r="41" spans="1:10" x14ac:dyDescent="0.25">
      <c r="A41" t="s">
        <v>225</v>
      </c>
      <c r="B41" t="s">
        <v>226</v>
      </c>
      <c r="C41" t="s">
        <v>227</v>
      </c>
      <c r="E41" s="3" t="s">
        <v>228</v>
      </c>
      <c r="F41" s="3"/>
      <c r="G41" s="3"/>
      <c r="H41" s="3"/>
      <c r="I41" s="3"/>
      <c r="J41" s="3"/>
    </row>
    <row r="43" spans="1:10" x14ac:dyDescent="0.25">
      <c r="A43" t="s">
        <v>229</v>
      </c>
      <c r="B43" t="s">
        <v>230</v>
      </c>
      <c r="C43" t="s">
        <v>231</v>
      </c>
      <c r="E43" t="s">
        <v>232</v>
      </c>
    </row>
    <row r="44" spans="1:10" x14ac:dyDescent="0.25">
      <c r="E44" t="s">
        <v>233</v>
      </c>
    </row>
    <row r="45" spans="1:10" x14ac:dyDescent="0.25">
      <c r="A45" t="s">
        <v>234</v>
      </c>
      <c r="B45" t="s">
        <v>235</v>
      </c>
      <c r="C45" t="s">
        <v>236</v>
      </c>
      <c r="E45" t="s">
        <v>237</v>
      </c>
    </row>
    <row r="46" spans="1:10" x14ac:dyDescent="0.25">
      <c r="E46" s="3" t="s">
        <v>238</v>
      </c>
    </row>
    <row r="47" spans="1:10" x14ac:dyDescent="0.25">
      <c r="A47" s="3" t="s">
        <v>239</v>
      </c>
      <c r="B47" s="3" t="s">
        <v>222</v>
      </c>
      <c r="C47" s="3" t="s">
        <v>223</v>
      </c>
      <c r="E47" t="s">
        <v>240</v>
      </c>
    </row>
    <row r="48" spans="1:10" x14ac:dyDescent="0.25">
      <c r="E48" t="s">
        <v>241</v>
      </c>
    </row>
    <row r="49" spans="1:9" x14ac:dyDescent="0.25">
      <c r="A49" t="s">
        <v>242</v>
      </c>
      <c r="B49" t="s">
        <v>243</v>
      </c>
      <c r="C49" t="s">
        <v>231</v>
      </c>
      <c r="E49" t="s">
        <v>244</v>
      </c>
    </row>
    <row r="51" spans="1:9" x14ac:dyDescent="0.25">
      <c r="A51" s="11" t="s">
        <v>245</v>
      </c>
      <c r="B51" s="11"/>
    </row>
    <row r="52" spans="1:9" x14ac:dyDescent="0.25">
      <c r="A52" s="11" t="s">
        <v>246</v>
      </c>
      <c r="B52" s="11"/>
    </row>
    <row r="55" spans="1:9" ht="19.5" x14ac:dyDescent="0.3">
      <c r="A55" s="33" t="s">
        <v>247</v>
      </c>
      <c r="B55" s="51"/>
      <c r="C55" s="4"/>
    </row>
    <row r="56" spans="1:9" x14ac:dyDescent="0.25">
      <c r="A56" s="17" t="s">
        <v>248</v>
      </c>
      <c r="B56" s="52" t="s">
        <v>249</v>
      </c>
    </row>
    <row r="58" spans="1:9" x14ac:dyDescent="0.25">
      <c r="A58" s="53" t="s">
        <v>250</v>
      </c>
      <c r="B58" t="s">
        <v>251</v>
      </c>
      <c r="D58" s="54" t="s">
        <v>252</v>
      </c>
      <c r="E58" s="52"/>
      <c r="F58" s="52"/>
      <c r="G58" s="52"/>
      <c r="H58" s="52"/>
      <c r="I58" s="52"/>
    </row>
    <row r="59" spans="1:9" x14ac:dyDescent="0.25">
      <c r="A59" t="s">
        <v>253</v>
      </c>
      <c r="B59" t="s">
        <v>254</v>
      </c>
    </row>
    <row r="60" spans="1:9" x14ac:dyDescent="0.25">
      <c r="A60" t="s">
        <v>255</v>
      </c>
    </row>
    <row r="62" spans="1:9" x14ac:dyDescent="0.25">
      <c r="A62" s="3" t="s">
        <v>256</v>
      </c>
      <c r="B62" t="s">
        <v>257</v>
      </c>
    </row>
    <row r="63" spans="1:9" x14ac:dyDescent="0.25">
      <c r="A63" s="3" t="s">
        <v>255</v>
      </c>
      <c r="B63" t="s">
        <v>258</v>
      </c>
    </row>
    <row r="64" spans="1:9" x14ac:dyDescent="0.25">
      <c r="A64" s="20"/>
    </row>
    <row r="65" spans="1:3" x14ac:dyDescent="0.25">
      <c r="A65" s="3" t="s">
        <v>259</v>
      </c>
      <c r="B65" t="s">
        <v>260</v>
      </c>
    </row>
    <row r="66" spans="1:3" x14ac:dyDescent="0.25">
      <c r="A66" s="20"/>
    </row>
    <row r="67" spans="1:3" x14ac:dyDescent="0.25">
      <c r="A67" s="3" t="s">
        <v>254</v>
      </c>
      <c r="B67" t="s">
        <v>261</v>
      </c>
    </row>
    <row r="68" spans="1:3" x14ac:dyDescent="0.25">
      <c r="A68" s="20"/>
    </row>
    <row r="69" spans="1:3" x14ac:dyDescent="0.25">
      <c r="A69" s="20"/>
    </row>
    <row r="70" spans="1:3" x14ac:dyDescent="0.25">
      <c r="A70" s="55" t="s">
        <v>262</v>
      </c>
      <c r="C70" s="55" t="s">
        <v>134</v>
      </c>
    </row>
    <row r="71" spans="1:3" x14ac:dyDescent="0.25">
      <c r="A71" t="s">
        <v>263</v>
      </c>
      <c r="C71" s="20" t="s">
        <v>264</v>
      </c>
    </row>
    <row r="72" spans="1:3" x14ac:dyDescent="0.25">
      <c r="C72" s="20" t="s">
        <v>265</v>
      </c>
    </row>
    <row r="73" spans="1:3" x14ac:dyDescent="0.25">
      <c r="A73" t="s">
        <v>266</v>
      </c>
      <c r="C73" s="20" t="s">
        <v>267</v>
      </c>
    </row>
    <row r="74" spans="1:3" x14ac:dyDescent="0.25">
      <c r="C74" s="20"/>
    </row>
    <row r="75" spans="1:3" x14ac:dyDescent="0.25">
      <c r="A75" t="s">
        <v>268</v>
      </c>
      <c r="C75" s="20" t="s">
        <v>268</v>
      </c>
    </row>
    <row r="76" spans="1:3" x14ac:dyDescent="0.25">
      <c r="C76" s="20"/>
    </row>
    <row r="77" spans="1:3" x14ac:dyDescent="0.25">
      <c r="A77" t="s">
        <v>269</v>
      </c>
      <c r="C77" s="20" t="s">
        <v>270</v>
      </c>
    </row>
    <row r="78" spans="1:3" x14ac:dyDescent="0.25">
      <c r="A78" t="s">
        <v>271</v>
      </c>
      <c r="C78" s="20" t="s">
        <v>272</v>
      </c>
    </row>
    <row r="79" spans="1:3" x14ac:dyDescent="0.25">
      <c r="C79" s="20" t="s">
        <v>273</v>
      </c>
    </row>
    <row r="80" spans="1:3" x14ac:dyDescent="0.25">
      <c r="A80" s="56" t="s">
        <v>274</v>
      </c>
      <c r="C80" s="20" t="s">
        <v>275</v>
      </c>
    </row>
    <row r="81" spans="1:2" x14ac:dyDescent="0.25">
      <c r="A81" s="20" t="s">
        <v>276</v>
      </c>
    </row>
    <row r="83" spans="1:2" x14ac:dyDescent="0.25">
      <c r="A83" s="55" t="s">
        <v>277</v>
      </c>
    </row>
    <row r="84" spans="1:2" x14ac:dyDescent="0.25">
      <c r="A84" t="s">
        <v>278</v>
      </c>
    </row>
    <row r="85" spans="1:2" x14ac:dyDescent="0.25">
      <c r="A85" t="s">
        <v>279</v>
      </c>
    </row>
    <row r="86" spans="1:2" x14ac:dyDescent="0.25">
      <c r="A86" t="s">
        <v>280</v>
      </c>
    </row>
    <row r="88" spans="1:2" x14ac:dyDescent="0.25">
      <c r="A88" s="55" t="s">
        <v>281</v>
      </c>
      <c r="B88" t="s">
        <v>282</v>
      </c>
    </row>
    <row r="89" spans="1:2" x14ac:dyDescent="0.25">
      <c r="A89" t="s">
        <v>283</v>
      </c>
    </row>
    <row r="90" spans="1:2" x14ac:dyDescent="0.25">
      <c r="A90" t="s">
        <v>284</v>
      </c>
    </row>
    <row r="91" spans="1:2" x14ac:dyDescent="0.25">
      <c r="A91" t="s">
        <v>285</v>
      </c>
    </row>
    <row r="92" spans="1:2" x14ac:dyDescent="0.25">
      <c r="A92" t="s">
        <v>286</v>
      </c>
    </row>
    <row r="93" spans="1:2" x14ac:dyDescent="0.25">
      <c r="A93" t="s">
        <v>287</v>
      </c>
    </row>
    <row r="95" spans="1:2" x14ac:dyDescent="0.25">
      <c r="A95" s="20" t="s">
        <v>288</v>
      </c>
    </row>
    <row r="96" spans="1:2" x14ac:dyDescent="0.25">
      <c r="A96" t="s">
        <v>289</v>
      </c>
    </row>
    <row r="97" spans="1:2" x14ac:dyDescent="0.25">
      <c r="A97" t="s">
        <v>290</v>
      </c>
    </row>
    <row r="98" spans="1:2" x14ac:dyDescent="0.25">
      <c r="A98" t="s">
        <v>291</v>
      </c>
    </row>
    <row r="99" spans="1:2" x14ac:dyDescent="0.25">
      <c r="A99" s="20" t="s">
        <v>292</v>
      </c>
    </row>
    <row r="102" spans="1:2" x14ac:dyDescent="0.25">
      <c r="A102" s="55" t="s">
        <v>293</v>
      </c>
      <c r="B102" s="56"/>
    </row>
    <row r="103" spans="1:2" x14ac:dyDescent="0.25">
      <c r="A103" t="s">
        <v>294</v>
      </c>
    </row>
    <row r="105" spans="1:2" x14ac:dyDescent="0.25">
      <c r="A105" t="s">
        <v>295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5592D-E862-4FF1-9E9E-DBF853A4FC95}">
  <sheetPr codeName="Sheet25"/>
  <dimension ref="A1:X25"/>
  <sheetViews>
    <sheetView topLeftCell="N1" workbookViewId="0">
      <selection activeCell="X1" sqref="X1"/>
    </sheetView>
  </sheetViews>
  <sheetFormatPr defaultRowHeight="15" x14ac:dyDescent="0.25"/>
  <cols>
    <col min="1" max="1" width="10.42578125" bestFit="1" customWidth="1"/>
    <col min="3" max="3" width="15.5703125" bestFit="1" customWidth="1"/>
    <col min="5" max="5" width="10.42578125" bestFit="1" customWidth="1"/>
  </cols>
  <sheetData>
    <row r="1" spans="1:24" x14ac:dyDescent="0.25">
      <c r="A1" t="s">
        <v>299</v>
      </c>
      <c r="C1" t="s">
        <v>300</v>
      </c>
      <c r="E1" s="90"/>
      <c r="H1" s="57" t="s">
        <v>16</v>
      </c>
      <c r="I1" s="57" t="s">
        <v>296</v>
      </c>
      <c r="J1" s="57"/>
      <c r="K1" s="57"/>
      <c r="L1" s="57"/>
      <c r="M1" t="s">
        <v>301</v>
      </c>
      <c r="N1" s="60" t="s">
        <v>302</v>
      </c>
      <c r="O1" s="61"/>
      <c r="P1" s="61"/>
      <c r="Q1" s="61" t="s">
        <v>303</v>
      </c>
      <c r="R1" s="61"/>
      <c r="S1" s="62"/>
      <c r="X1">
        <v>20</v>
      </c>
    </row>
    <row r="2" spans="1:24" x14ac:dyDescent="0.25">
      <c r="A2" s="59">
        <v>43926</v>
      </c>
      <c r="C2" s="69">
        <v>43926.604062500002</v>
      </c>
      <c r="H2" s="57"/>
      <c r="I2" s="57" t="s">
        <v>297</v>
      </c>
      <c r="J2" s="57"/>
      <c r="K2" s="57"/>
      <c r="L2" s="57"/>
      <c r="N2" s="63"/>
      <c r="O2" s="64"/>
      <c r="P2" s="64"/>
      <c r="Q2" s="64"/>
      <c r="R2" s="64"/>
      <c r="S2" s="65"/>
    </row>
    <row r="3" spans="1:24" x14ac:dyDescent="0.25">
      <c r="H3" s="57"/>
      <c r="I3" s="57" t="s">
        <v>298</v>
      </c>
      <c r="J3" s="57"/>
      <c r="K3" s="57"/>
      <c r="L3" s="57"/>
      <c r="N3" s="63" t="s">
        <v>330</v>
      </c>
      <c r="O3" s="64"/>
      <c r="P3" s="64"/>
      <c r="Q3" s="63" t="s">
        <v>330</v>
      </c>
      <c r="R3" s="64"/>
      <c r="S3" s="65"/>
    </row>
    <row r="4" spans="1:24" x14ac:dyDescent="0.25">
      <c r="A4" t="s">
        <v>312</v>
      </c>
      <c r="N4" s="63" t="s">
        <v>331</v>
      </c>
      <c r="O4" s="64"/>
      <c r="P4" s="64"/>
      <c r="Q4" s="63" t="s">
        <v>333</v>
      </c>
      <c r="R4" s="64"/>
      <c r="S4" s="65"/>
    </row>
    <row r="5" spans="1:24" ht="15.75" thickBot="1" x14ac:dyDescent="0.3">
      <c r="A5" s="72" t="s">
        <v>308</v>
      </c>
      <c r="B5" s="58"/>
      <c r="C5" s="58"/>
      <c r="N5" s="68" t="s">
        <v>332</v>
      </c>
      <c r="O5" s="66"/>
      <c r="P5" s="66"/>
      <c r="Q5" s="68" t="s">
        <v>332</v>
      </c>
      <c r="R5" s="66"/>
      <c r="S5" s="67"/>
    </row>
    <row r="6" spans="1:24" x14ac:dyDescent="0.25">
      <c r="N6" s="73" t="s">
        <v>304</v>
      </c>
      <c r="O6" s="11"/>
      <c r="P6" s="11"/>
      <c r="Q6" s="11"/>
      <c r="R6" s="11"/>
      <c r="S6" s="11"/>
      <c r="T6" s="11"/>
      <c r="U6" s="11"/>
    </row>
    <row r="7" spans="1:24" x14ac:dyDescent="0.25">
      <c r="A7" t="s">
        <v>309</v>
      </c>
      <c r="C7" t="s">
        <v>310</v>
      </c>
      <c r="M7" s="71" t="s">
        <v>306</v>
      </c>
      <c r="N7" s="71"/>
      <c r="O7" s="71" t="s">
        <v>307</v>
      </c>
      <c r="P7" s="71"/>
      <c r="Q7" s="71"/>
      <c r="R7" s="71"/>
      <c r="S7" s="71"/>
    </row>
    <row r="8" spans="1:24" x14ac:dyDescent="0.25">
      <c r="A8" s="59">
        <v>42895</v>
      </c>
      <c r="C8" s="69">
        <v>43926</v>
      </c>
    </row>
    <row r="9" spans="1:24" x14ac:dyDescent="0.25">
      <c r="H9" s="57" t="s">
        <v>16</v>
      </c>
      <c r="I9" s="57" t="s">
        <v>305</v>
      </c>
      <c r="J9" s="57"/>
      <c r="K9" s="57"/>
      <c r="L9" s="57"/>
      <c r="M9" s="57"/>
    </row>
    <row r="10" spans="1:24" x14ac:dyDescent="0.25">
      <c r="A10" t="s">
        <v>311</v>
      </c>
      <c r="H10" s="57" t="s">
        <v>315</v>
      </c>
      <c r="I10" s="57" t="s">
        <v>334</v>
      </c>
      <c r="J10" s="57"/>
      <c r="K10" s="57"/>
      <c r="L10" s="57"/>
      <c r="M10" s="57"/>
    </row>
    <row r="11" spans="1:24" x14ac:dyDescent="0.25">
      <c r="A11" s="93">
        <v>1</v>
      </c>
      <c r="B11" s="93"/>
      <c r="C11" s="93"/>
    </row>
    <row r="12" spans="1:24" x14ac:dyDescent="0.25">
      <c r="H12" s="75" t="s">
        <v>329</v>
      </c>
      <c r="I12" s="75"/>
      <c r="J12" s="75"/>
      <c r="K12" s="76" t="s">
        <v>327</v>
      </c>
      <c r="L12" s="76" t="s">
        <v>328</v>
      </c>
      <c r="M12" s="75"/>
    </row>
    <row r="13" spans="1:24" x14ac:dyDescent="0.25">
      <c r="A13" t="s">
        <v>313</v>
      </c>
    </row>
    <row r="15" spans="1:24" x14ac:dyDescent="0.25">
      <c r="A15" s="74">
        <v>43560</v>
      </c>
      <c r="H15" t="s">
        <v>314</v>
      </c>
      <c r="I15" t="s">
        <v>325</v>
      </c>
    </row>
    <row r="16" spans="1:24" x14ac:dyDescent="0.25">
      <c r="H16" t="s">
        <v>315</v>
      </c>
      <c r="I16" s="70" t="s">
        <v>316</v>
      </c>
    </row>
    <row r="17" spans="9:18" x14ac:dyDescent="0.25">
      <c r="I17" s="72" t="s">
        <v>317</v>
      </c>
      <c r="J17" s="58"/>
      <c r="K17" s="58"/>
      <c r="L17" s="58"/>
      <c r="M17" s="58"/>
      <c r="N17" s="58"/>
      <c r="O17" s="58"/>
      <c r="P17" s="58"/>
      <c r="Q17" s="58"/>
      <c r="R17" s="58"/>
    </row>
    <row r="18" spans="9:18" x14ac:dyDescent="0.25">
      <c r="I18" t="s">
        <v>318</v>
      </c>
      <c r="Q18" s="11" t="s">
        <v>319</v>
      </c>
    </row>
    <row r="19" spans="9:18" x14ac:dyDescent="0.25">
      <c r="I19" s="20" t="s">
        <v>326</v>
      </c>
      <c r="Q19" s="11"/>
    </row>
    <row r="20" spans="9:18" x14ac:dyDescent="0.25">
      <c r="Q20" s="11"/>
    </row>
    <row r="21" spans="9:18" x14ac:dyDescent="0.25">
      <c r="J21" s="4" t="s">
        <v>320</v>
      </c>
      <c r="K21" s="4"/>
      <c r="L21" s="4"/>
      <c r="M21" s="4"/>
      <c r="N21" s="4"/>
      <c r="O21" s="4"/>
      <c r="P21" s="4"/>
    </row>
    <row r="22" spans="9:18" x14ac:dyDescent="0.25">
      <c r="J22" s="12" t="s">
        <v>321</v>
      </c>
      <c r="K22" s="12"/>
      <c r="L22" s="12"/>
      <c r="M22" s="12"/>
      <c r="N22" s="12"/>
      <c r="O22" s="12"/>
      <c r="P22" s="12"/>
    </row>
    <row r="23" spans="9:18" x14ac:dyDescent="0.25">
      <c r="J23" s="4" t="s">
        <v>322</v>
      </c>
      <c r="K23" s="4"/>
      <c r="L23" s="4"/>
      <c r="M23" s="4"/>
      <c r="N23" s="4"/>
      <c r="O23" s="4"/>
      <c r="P23" s="4"/>
    </row>
    <row r="24" spans="9:18" x14ac:dyDescent="0.25">
      <c r="J24" s="12" t="s">
        <v>323</v>
      </c>
      <c r="K24" s="12"/>
      <c r="L24" s="12"/>
      <c r="M24" s="12"/>
      <c r="N24" s="12"/>
      <c r="O24" s="12"/>
      <c r="P24" s="12"/>
    </row>
    <row r="25" spans="9:18" x14ac:dyDescent="0.25">
      <c r="I25" t="s">
        <v>324</v>
      </c>
    </row>
  </sheetData>
  <mergeCells count="1">
    <mergeCell ref="A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55C0-47C8-4826-888F-5A372C39FD1F}">
  <sheetPr codeName="Sheet23"/>
  <dimension ref="A1:X9"/>
  <sheetViews>
    <sheetView topLeftCell="N1" workbookViewId="0">
      <selection activeCell="X1" sqref="X1"/>
    </sheetView>
  </sheetViews>
  <sheetFormatPr defaultRowHeight="15" x14ac:dyDescent="0.25"/>
  <cols>
    <col min="1" max="1" width="36.140625" bestFit="1" customWidth="1"/>
  </cols>
  <sheetData>
    <row r="1" spans="1:24" x14ac:dyDescent="0.25">
      <c r="A1" s="20" t="s">
        <v>335</v>
      </c>
      <c r="X1">
        <v>20</v>
      </c>
    </row>
    <row r="2" spans="1:24" ht="15.75" thickBot="1" x14ac:dyDescent="0.3">
      <c r="B2" t="s">
        <v>390</v>
      </c>
    </row>
    <row r="3" spans="1:24" x14ac:dyDescent="0.25">
      <c r="A3" t="s">
        <v>336</v>
      </c>
      <c r="B3" s="81" t="s">
        <v>340</v>
      </c>
      <c r="C3" s="82"/>
      <c r="D3" s="82"/>
      <c r="E3" s="82"/>
      <c r="F3" s="82"/>
      <c r="G3" s="82"/>
      <c r="H3" s="83"/>
    </row>
    <row r="4" spans="1:24" x14ac:dyDescent="0.25">
      <c r="B4" s="84"/>
      <c r="C4" s="85"/>
      <c r="D4" s="85"/>
      <c r="E4" s="85"/>
      <c r="F4" s="85"/>
      <c r="G4" s="85"/>
      <c r="H4" s="86"/>
    </row>
    <row r="5" spans="1:24" x14ac:dyDescent="0.25">
      <c r="A5" t="s">
        <v>337</v>
      </c>
      <c r="B5" s="84" t="s">
        <v>341</v>
      </c>
      <c r="C5" s="85"/>
      <c r="D5" s="85"/>
      <c r="E5" s="85"/>
      <c r="F5" s="85"/>
      <c r="G5" s="85"/>
      <c r="H5" s="86"/>
    </row>
    <row r="6" spans="1:24" x14ac:dyDescent="0.25">
      <c r="B6" s="84"/>
      <c r="C6" s="85"/>
      <c r="D6" s="85"/>
      <c r="E6" s="85"/>
      <c r="F6" s="85"/>
      <c r="G6" s="85"/>
      <c r="H6" s="86"/>
    </row>
    <row r="7" spans="1:24" x14ac:dyDescent="0.25">
      <c r="A7" t="s">
        <v>338</v>
      </c>
      <c r="B7" s="84" t="s">
        <v>342</v>
      </c>
      <c r="C7" s="85"/>
      <c r="D7" s="85"/>
      <c r="E7" s="85"/>
      <c r="F7" s="85"/>
      <c r="G7" s="85"/>
      <c r="H7" s="86"/>
    </row>
    <row r="8" spans="1:24" x14ac:dyDescent="0.25">
      <c r="B8" s="84"/>
      <c r="C8" s="85"/>
      <c r="D8" s="85"/>
      <c r="E8" s="85"/>
      <c r="F8" s="85"/>
      <c r="G8" s="85"/>
      <c r="H8" s="86"/>
    </row>
    <row r="9" spans="1:24" ht="15.75" thickBot="1" x14ac:dyDescent="0.3">
      <c r="A9" t="s">
        <v>339</v>
      </c>
      <c r="B9" s="87" t="s">
        <v>343</v>
      </c>
      <c r="C9" s="88"/>
      <c r="D9" s="88"/>
      <c r="E9" s="88"/>
      <c r="F9" s="88"/>
      <c r="G9" s="88"/>
      <c r="H9" s="8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1A9E6-8F3E-4F53-AEBA-D3E534BB28E4}">
  <sheetPr codeName="Sheet26"/>
  <dimension ref="A1:X24"/>
  <sheetViews>
    <sheetView topLeftCell="N1" workbookViewId="0">
      <selection activeCell="X1" sqref="X1"/>
    </sheetView>
  </sheetViews>
  <sheetFormatPr defaultRowHeight="15" x14ac:dyDescent="0.25"/>
  <sheetData>
    <row r="1" spans="1:24" x14ac:dyDescent="0.25">
      <c r="A1" s="4" t="s">
        <v>344</v>
      </c>
      <c r="B1" s="4"/>
      <c r="C1" s="4"/>
      <c r="D1" s="4"/>
      <c r="X1">
        <v>20</v>
      </c>
    </row>
    <row r="3" spans="1:24" x14ac:dyDescent="0.25">
      <c r="A3" t="s">
        <v>301</v>
      </c>
      <c r="B3" t="s">
        <v>345</v>
      </c>
    </row>
    <row r="5" spans="1:24" x14ac:dyDescent="0.25">
      <c r="A5" s="4" t="s">
        <v>346</v>
      </c>
      <c r="B5" s="4"/>
      <c r="C5" s="4"/>
      <c r="D5" s="4"/>
    </row>
    <row r="6" spans="1:24" x14ac:dyDescent="0.25">
      <c r="A6" t="s">
        <v>327</v>
      </c>
      <c r="B6" t="s">
        <v>347</v>
      </c>
    </row>
    <row r="7" spans="1:24" x14ac:dyDescent="0.25">
      <c r="B7" t="s">
        <v>348</v>
      </c>
    </row>
    <row r="8" spans="1:24" x14ac:dyDescent="0.25">
      <c r="B8" t="s">
        <v>349</v>
      </c>
    </row>
    <row r="10" spans="1:24" x14ac:dyDescent="0.25">
      <c r="A10" s="4" t="s">
        <v>350</v>
      </c>
      <c r="B10" s="4"/>
      <c r="C10" s="4"/>
      <c r="D10" s="4"/>
    </row>
    <row r="11" spans="1:24" x14ac:dyDescent="0.25">
      <c r="A11" t="s">
        <v>327</v>
      </c>
      <c r="B11" t="s">
        <v>351</v>
      </c>
    </row>
    <row r="13" spans="1:24" x14ac:dyDescent="0.25">
      <c r="A13" s="4" t="s">
        <v>352</v>
      </c>
      <c r="B13" s="4"/>
      <c r="C13" s="4"/>
    </row>
    <row r="14" spans="1:24" x14ac:dyDescent="0.25">
      <c r="A14" t="s">
        <v>327</v>
      </c>
      <c r="B14" t="s">
        <v>353</v>
      </c>
    </row>
    <row r="16" spans="1:24" x14ac:dyDescent="0.25">
      <c r="A16" s="4" t="s">
        <v>354</v>
      </c>
      <c r="B16" s="4"/>
      <c r="C16" s="4"/>
      <c r="D16" s="4"/>
      <c r="E16" s="4"/>
      <c r="F16" s="4"/>
      <c r="G16" s="4"/>
      <c r="H16" s="4"/>
      <c r="I16" s="4"/>
    </row>
    <row r="17" spans="1:9" x14ac:dyDescent="0.25">
      <c r="A17" t="s">
        <v>327</v>
      </c>
      <c r="B17" t="s">
        <v>392</v>
      </c>
    </row>
    <row r="18" spans="1:9" x14ac:dyDescent="0.25">
      <c r="B18" t="s">
        <v>393</v>
      </c>
    </row>
    <row r="20" spans="1:9" x14ac:dyDescent="0.25">
      <c r="A20" s="4" t="s">
        <v>355</v>
      </c>
      <c r="B20" s="4"/>
      <c r="C20" s="4"/>
      <c r="D20" s="4"/>
      <c r="E20" s="4"/>
      <c r="F20" s="4"/>
      <c r="G20" s="4"/>
      <c r="H20" s="4"/>
      <c r="I20" s="4"/>
    </row>
    <row r="21" spans="1:9" x14ac:dyDescent="0.25">
      <c r="A21" t="s">
        <v>327</v>
      </c>
      <c r="B21" t="s">
        <v>394</v>
      </c>
    </row>
    <row r="23" spans="1:9" x14ac:dyDescent="0.25">
      <c r="A23" s="4" t="s">
        <v>356</v>
      </c>
      <c r="B23" s="4"/>
      <c r="C23" s="4"/>
      <c r="D23" s="4"/>
      <c r="E23" s="4"/>
      <c r="F23" s="4"/>
      <c r="G23" s="4"/>
      <c r="H23" s="4"/>
    </row>
    <row r="24" spans="1:9" x14ac:dyDescent="0.25">
      <c r="A24" t="s">
        <v>327</v>
      </c>
      <c r="B24" t="s">
        <v>357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E9FBD-05B3-4B53-84E0-670D4918C2EA}">
  <sheetPr codeName="Sheet27"/>
  <dimension ref="A1:X31"/>
  <sheetViews>
    <sheetView workbookViewId="0">
      <selection activeCell="X1" sqref="X1"/>
    </sheetView>
  </sheetViews>
  <sheetFormatPr defaultRowHeight="15" x14ac:dyDescent="0.25"/>
  <sheetData>
    <row r="1" spans="1:24" x14ac:dyDescent="0.25">
      <c r="A1" t="s">
        <v>385</v>
      </c>
      <c r="X1">
        <v>20</v>
      </c>
    </row>
    <row r="2" spans="1:24" x14ac:dyDescent="0.25">
      <c r="A2" s="20">
        <v>1</v>
      </c>
      <c r="B2" s="20" t="s">
        <v>386</v>
      </c>
      <c r="C2" s="20"/>
      <c r="D2" s="20"/>
      <c r="E2" s="20"/>
    </row>
    <row r="3" spans="1:24" x14ac:dyDescent="0.25">
      <c r="A3" s="20">
        <v>2</v>
      </c>
      <c r="B3" s="20" t="s">
        <v>387</v>
      </c>
      <c r="C3" s="20"/>
      <c r="D3" s="20"/>
      <c r="E3" s="20"/>
    </row>
    <row r="4" spans="1:24" x14ac:dyDescent="0.25">
      <c r="A4" s="20">
        <v>3</v>
      </c>
      <c r="B4" s="20" t="s">
        <v>388</v>
      </c>
      <c r="C4" s="20"/>
      <c r="D4" s="20"/>
      <c r="E4" s="20"/>
    </row>
    <row r="5" spans="1:24" x14ac:dyDescent="0.25">
      <c r="A5" s="20">
        <v>4</v>
      </c>
      <c r="B5" s="20" t="s">
        <v>389</v>
      </c>
      <c r="C5" s="20"/>
      <c r="D5" s="20"/>
      <c r="E5" s="20"/>
    </row>
    <row r="9" spans="1:24" x14ac:dyDescent="0.25">
      <c r="A9" s="29" t="s">
        <v>358</v>
      </c>
      <c r="B9" s="29" t="s">
        <v>359</v>
      </c>
      <c r="C9" s="29" t="s">
        <v>360</v>
      </c>
      <c r="F9" s="29" t="s">
        <v>358</v>
      </c>
      <c r="G9" s="29" t="s">
        <v>359</v>
      </c>
      <c r="H9" s="29" t="s">
        <v>360</v>
      </c>
    </row>
    <row r="10" spans="1:24" x14ac:dyDescent="0.25">
      <c r="A10" s="29" t="s">
        <v>80</v>
      </c>
      <c r="B10" s="29" t="s">
        <v>361</v>
      </c>
      <c r="C10" s="29" t="s">
        <v>362</v>
      </c>
      <c r="F10" s="29" t="s">
        <v>80</v>
      </c>
      <c r="G10" s="29" t="s">
        <v>361</v>
      </c>
      <c r="H10" s="29" t="s">
        <v>362</v>
      </c>
      <c r="K10" t="s">
        <v>363</v>
      </c>
    </row>
    <row r="11" spans="1:24" x14ac:dyDescent="0.25">
      <c r="A11" s="29" t="s">
        <v>81</v>
      </c>
      <c r="B11" s="29" t="s">
        <v>364</v>
      </c>
      <c r="C11" s="29" t="s">
        <v>362</v>
      </c>
      <c r="F11" s="29" t="s">
        <v>81</v>
      </c>
      <c r="G11" s="29" t="s">
        <v>364</v>
      </c>
      <c r="H11" s="29" t="s">
        <v>362</v>
      </c>
      <c r="K11" t="s">
        <v>365</v>
      </c>
    </row>
    <row r="12" spans="1:24" x14ac:dyDescent="0.25">
      <c r="A12" s="29" t="s">
        <v>82</v>
      </c>
      <c r="B12" s="29" t="s">
        <v>366</v>
      </c>
      <c r="C12" s="29" t="s">
        <v>362</v>
      </c>
      <c r="F12" s="29" t="s">
        <v>82</v>
      </c>
      <c r="G12" s="29" t="s">
        <v>366</v>
      </c>
      <c r="H12" s="29" t="s">
        <v>362</v>
      </c>
    </row>
    <row r="13" spans="1:24" x14ac:dyDescent="0.25">
      <c r="A13" s="29" t="s">
        <v>367</v>
      </c>
      <c r="B13" s="29" t="s">
        <v>368</v>
      </c>
      <c r="C13" s="29" t="s">
        <v>362</v>
      </c>
      <c r="F13" s="29" t="s">
        <v>367</v>
      </c>
      <c r="G13" s="29" t="s">
        <v>368</v>
      </c>
      <c r="H13" s="29" t="s">
        <v>362</v>
      </c>
      <c r="K13" t="s">
        <v>369</v>
      </c>
    </row>
    <row r="14" spans="1:24" x14ac:dyDescent="0.25">
      <c r="A14" s="29" t="s">
        <v>370</v>
      </c>
      <c r="B14" s="29" t="s">
        <v>371</v>
      </c>
      <c r="C14" s="29" t="s">
        <v>362</v>
      </c>
      <c r="F14" s="29" t="s">
        <v>370</v>
      </c>
      <c r="G14" s="29" t="s">
        <v>371</v>
      </c>
      <c r="H14" s="29" t="s">
        <v>362</v>
      </c>
      <c r="K14" t="s">
        <v>372</v>
      </c>
    </row>
    <row r="15" spans="1:24" x14ac:dyDescent="0.25">
      <c r="A15" s="29" t="s">
        <v>373</v>
      </c>
      <c r="B15" s="29" t="s">
        <v>374</v>
      </c>
      <c r="C15" s="29" t="s">
        <v>362</v>
      </c>
      <c r="F15" s="29" t="s">
        <v>373</v>
      </c>
      <c r="G15" s="29" t="s">
        <v>374</v>
      </c>
      <c r="H15" s="29" t="s">
        <v>362</v>
      </c>
    </row>
    <row r="16" spans="1:24" x14ac:dyDescent="0.25">
      <c r="A16" s="29" t="s">
        <v>375</v>
      </c>
      <c r="B16" s="29" t="s">
        <v>376</v>
      </c>
      <c r="C16" s="29" t="s">
        <v>362</v>
      </c>
      <c r="F16" s="29" t="s">
        <v>375</v>
      </c>
      <c r="G16" s="29" t="s">
        <v>376</v>
      </c>
      <c r="H16" s="29" t="s">
        <v>362</v>
      </c>
      <c r="K16" t="s">
        <v>377</v>
      </c>
    </row>
    <row r="18" spans="1:14" x14ac:dyDescent="0.25">
      <c r="A18" s="77" t="s">
        <v>378</v>
      </c>
      <c r="B18" s="77"/>
      <c r="C18" s="77"/>
      <c r="D18" s="77"/>
      <c r="E18" s="77"/>
      <c r="F18" s="77"/>
      <c r="G18" s="77"/>
      <c r="H18" s="77"/>
      <c r="I18" s="77"/>
    </row>
    <row r="20" spans="1:14" x14ac:dyDescent="0.25">
      <c r="A20" s="78" t="s">
        <v>379</v>
      </c>
      <c r="B20" s="12"/>
      <c r="C20" s="12"/>
      <c r="D20" s="12"/>
      <c r="E20" s="12"/>
      <c r="F20" s="12"/>
      <c r="G20" s="12"/>
      <c r="H20" s="12"/>
      <c r="I20" s="12"/>
      <c r="J20" s="12"/>
      <c r="K20" s="12"/>
      <c r="L20" s="12"/>
      <c r="M20" s="12"/>
      <c r="N20" s="12"/>
    </row>
    <row r="21" spans="1:14" x14ac:dyDescent="0.25">
      <c r="F21" t="s">
        <v>380</v>
      </c>
    </row>
    <row r="22" spans="1:14" x14ac:dyDescent="0.25">
      <c r="A22" s="29" t="s">
        <v>358</v>
      </c>
      <c r="B22" s="29" t="s">
        <v>359</v>
      </c>
      <c r="C22" s="29" t="s">
        <v>360</v>
      </c>
      <c r="D22" s="79"/>
      <c r="E22" s="79"/>
    </row>
    <row r="23" spans="1:14" x14ac:dyDescent="0.25">
      <c r="A23" s="29" t="s">
        <v>80</v>
      </c>
      <c r="B23" s="29" t="s">
        <v>361</v>
      </c>
      <c r="C23" s="29" t="s">
        <v>362</v>
      </c>
      <c r="D23" s="79"/>
      <c r="E23" s="79"/>
      <c r="F23" t="s">
        <v>381</v>
      </c>
    </row>
    <row r="24" spans="1:14" x14ac:dyDescent="0.25">
      <c r="A24" s="29" t="s">
        <v>81</v>
      </c>
      <c r="B24" s="29" t="s">
        <v>364</v>
      </c>
      <c r="C24" s="29" t="s">
        <v>362</v>
      </c>
      <c r="D24" s="79"/>
      <c r="E24" s="79"/>
      <c r="F24" t="s">
        <v>382</v>
      </c>
    </row>
    <row r="25" spans="1:14" x14ac:dyDescent="0.25">
      <c r="A25" s="29" t="s">
        <v>82</v>
      </c>
      <c r="B25" s="29" t="s">
        <v>366</v>
      </c>
      <c r="C25" s="29" t="s">
        <v>362</v>
      </c>
      <c r="D25" s="79"/>
      <c r="E25" s="79"/>
    </row>
    <row r="26" spans="1:14" x14ac:dyDescent="0.25">
      <c r="A26" s="29" t="s">
        <v>367</v>
      </c>
      <c r="B26" s="29" t="s">
        <v>368</v>
      </c>
      <c r="C26" s="29" t="s">
        <v>362</v>
      </c>
      <c r="D26" s="79"/>
      <c r="E26" s="79"/>
      <c r="F26" t="s">
        <v>383</v>
      </c>
    </row>
    <row r="27" spans="1:14" x14ac:dyDescent="0.25">
      <c r="A27" s="29" t="s">
        <v>370</v>
      </c>
      <c r="B27" s="29" t="s">
        <v>371</v>
      </c>
      <c r="C27" s="29" t="s">
        <v>362</v>
      </c>
      <c r="D27" s="79"/>
      <c r="E27" s="79"/>
    </row>
    <row r="28" spans="1:14" x14ac:dyDescent="0.25">
      <c r="A28" s="29" t="s">
        <v>373</v>
      </c>
      <c r="B28" s="29" t="s">
        <v>374</v>
      </c>
      <c r="C28" s="29" t="s">
        <v>362</v>
      </c>
      <c r="D28" s="79"/>
      <c r="E28" s="79"/>
      <c r="F28" t="s">
        <v>384</v>
      </c>
    </row>
    <row r="29" spans="1:14" x14ac:dyDescent="0.25">
      <c r="A29" s="29" t="s">
        <v>375</v>
      </c>
      <c r="B29" s="29" t="s">
        <v>376</v>
      </c>
      <c r="C29" s="29" t="s">
        <v>362</v>
      </c>
      <c r="D29" s="79"/>
      <c r="E29" s="79"/>
    </row>
    <row r="30" spans="1:14" x14ac:dyDescent="0.25">
      <c r="A30" s="80"/>
      <c r="B30" s="79"/>
      <c r="C30" s="79"/>
      <c r="D30" s="79"/>
      <c r="E30" s="79"/>
      <c r="F30" t="s">
        <v>377</v>
      </c>
    </row>
    <row r="31" spans="1:14" x14ac:dyDescent="0.25">
      <c r="A31" s="79"/>
      <c r="B31" s="80"/>
      <c r="C31" s="80"/>
      <c r="D31" s="80"/>
      <c r="E31" s="8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3D72D-5D80-4A2A-AABC-695CCAE5E68A}">
  <sheetPr codeName="Sheet2"/>
  <dimension ref="A1:D8"/>
  <sheetViews>
    <sheetView workbookViewId="0"/>
  </sheetViews>
  <sheetFormatPr defaultRowHeight="15" x14ac:dyDescent="0.25"/>
  <sheetData>
    <row r="1" spans="1:4" x14ac:dyDescent="0.25">
      <c r="B1">
        <v>2019</v>
      </c>
      <c r="C1">
        <v>2020</v>
      </c>
      <c r="D1" t="s">
        <v>13</v>
      </c>
    </row>
    <row r="2" spans="1:4" x14ac:dyDescent="0.25">
      <c r="A2" t="s">
        <v>6</v>
      </c>
      <c r="B2">
        <v>50000</v>
      </c>
      <c r="C2">
        <v>80000</v>
      </c>
      <c r="D2" s="2">
        <v>2.5</v>
      </c>
    </row>
    <row r="3" spans="1:4" x14ac:dyDescent="0.25">
      <c r="A3" t="s">
        <v>7</v>
      </c>
      <c r="B3">
        <v>20000</v>
      </c>
      <c r="C3">
        <v>30000</v>
      </c>
      <c r="D3" s="2">
        <v>1</v>
      </c>
    </row>
    <row r="4" spans="1:4" x14ac:dyDescent="0.25">
      <c r="A4" t="s">
        <v>8</v>
      </c>
      <c r="B4">
        <v>30000</v>
      </c>
      <c r="C4">
        <v>50000</v>
      </c>
      <c r="D4" s="2">
        <v>1.5</v>
      </c>
    </row>
    <row r="5" spans="1:4" x14ac:dyDescent="0.25">
      <c r="A5" t="s">
        <v>9</v>
      </c>
      <c r="B5">
        <v>2000</v>
      </c>
      <c r="C5">
        <v>3000</v>
      </c>
      <c r="D5" s="2">
        <v>0.1</v>
      </c>
    </row>
    <row r="6" spans="1:4" x14ac:dyDescent="0.25">
      <c r="A6" t="s">
        <v>10</v>
      </c>
      <c r="B6">
        <v>3000</v>
      </c>
      <c r="C6">
        <v>1000</v>
      </c>
      <c r="D6" s="2">
        <v>0.15</v>
      </c>
    </row>
    <row r="7" spans="1:4" x14ac:dyDescent="0.25">
      <c r="A7" t="s">
        <v>11</v>
      </c>
      <c r="B7">
        <v>5000</v>
      </c>
      <c r="C7">
        <v>3000</v>
      </c>
      <c r="D7" s="2">
        <v>0.25</v>
      </c>
    </row>
    <row r="8" spans="1:4" x14ac:dyDescent="0.25">
      <c r="A8" t="s">
        <v>12</v>
      </c>
      <c r="B8">
        <v>20000</v>
      </c>
      <c r="C8">
        <v>43000</v>
      </c>
      <c r="D8" s="2">
        <v>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79222-624E-49A0-A624-29F793AEEAAB}">
  <sheetPr codeName="Sheet3"/>
  <dimension ref="A1:E5"/>
  <sheetViews>
    <sheetView workbookViewId="0">
      <selection sqref="A1:A5"/>
    </sheetView>
  </sheetViews>
  <sheetFormatPr defaultRowHeight="15" x14ac:dyDescent="0.25"/>
  <sheetData>
    <row r="1" spans="1:5" x14ac:dyDescent="0.25">
      <c r="A1">
        <v>10</v>
      </c>
      <c r="D1" t="s">
        <v>14</v>
      </c>
      <c r="E1" t="s">
        <v>15</v>
      </c>
    </row>
    <row r="2" spans="1:5" x14ac:dyDescent="0.25">
      <c r="A2">
        <v>20</v>
      </c>
    </row>
    <row r="3" spans="1:5" x14ac:dyDescent="0.25">
      <c r="A3">
        <v>30</v>
      </c>
    </row>
    <row r="4" spans="1:5" x14ac:dyDescent="0.25">
      <c r="A4">
        <v>40</v>
      </c>
    </row>
    <row r="5" spans="1:5" x14ac:dyDescent="0.25">
      <c r="A5">
        <v>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1E8D0-8A69-43E1-8C81-6895109FB5B8}">
  <sheetPr codeName="Sheet4"/>
  <dimension ref="A1:A5"/>
  <sheetViews>
    <sheetView workbookViewId="0">
      <selection sqref="A1:A5"/>
    </sheetView>
  </sheetViews>
  <sheetFormatPr defaultRowHeight="15" x14ac:dyDescent="0.25"/>
  <sheetData>
    <row r="1" spans="1:1" x14ac:dyDescent="0.25">
      <c r="A1" s="12"/>
    </row>
    <row r="2" spans="1:1" x14ac:dyDescent="0.25">
      <c r="A2" s="12"/>
    </row>
    <row r="3" spans="1:1" x14ac:dyDescent="0.25">
      <c r="A3" s="12"/>
    </row>
    <row r="4" spans="1:1" x14ac:dyDescent="0.25">
      <c r="A4" s="12"/>
    </row>
    <row r="5" spans="1:1" x14ac:dyDescent="0.25">
      <c r="A5"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23AA-2852-4AF7-81AF-94F1B5E6F329}">
  <sheetPr codeName="Sheet5"/>
  <dimension ref="A1:N10"/>
  <sheetViews>
    <sheetView workbookViewId="0"/>
  </sheetViews>
  <sheetFormatPr defaultRowHeight="15" x14ac:dyDescent="0.25"/>
  <sheetData>
    <row r="1" spans="1:14" x14ac:dyDescent="0.25">
      <c r="A1">
        <v>10</v>
      </c>
      <c r="B1">
        <v>10</v>
      </c>
      <c r="C1">
        <v>10</v>
      </c>
      <c r="D1">
        <v>10</v>
      </c>
      <c r="E1">
        <v>10</v>
      </c>
      <c r="M1" t="s">
        <v>16</v>
      </c>
      <c r="N1" t="s">
        <v>17</v>
      </c>
    </row>
    <row r="2" spans="1:14" x14ac:dyDescent="0.25">
      <c r="A2">
        <v>20</v>
      </c>
      <c r="B2">
        <v>20</v>
      </c>
      <c r="C2">
        <v>20</v>
      </c>
      <c r="D2">
        <v>20</v>
      </c>
      <c r="E2">
        <v>20</v>
      </c>
    </row>
    <row r="3" spans="1:14" x14ac:dyDescent="0.25">
      <c r="A3">
        <v>30</v>
      </c>
      <c r="B3">
        <v>30</v>
      </c>
      <c r="C3">
        <v>30</v>
      </c>
      <c r="D3">
        <v>30</v>
      </c>
      <c r="E3">
        <v>30</v>
      </c>
    </row>
    <row r="4" spans="1:14" x14ac:dyDescent="0.25">
      <c r="A4">
        <v>40</v>
      </c>
      <c r="B4">
        <v>40</v>
      </c>
      <c r="C4">
        <v>40</v>
      </c>
      <c r="D4">
        <v>40</v>
      </c>
      <c r="E4">
        <v>40</v>
      </c>
    </row>
    <row r="5" spans="1:14" x14ac:dyDescent="0.25">
      <c r="A5">
        <v>50</v>
      </c>
      <c r="B5">
        <v>50</v>
      </c>
      <c r="C5">
        <v>50</v>
      </c>
      <c r="D5">
        <v>50</v>
      </c>
      <c r="E5">
        <v>50</v>
      </c>
    </row>
    <row r="6" spans="1:14" x14ac:dyDescent="0.25">
      <c r="A6">
        <v>60</v>
      </c>
      <c r="B6">
        <v>60</v>
      </c>
      <c r="C6">
        <v>60</v>
      </c>
      <c r="D6">
        <v>60</v>
      </c>
      <c r="E6">
        <v>60</v>
      </c>
    </row>
    <row r="7" spans="1:14" x14ac:dyDescent="0.25">
      <c r="A7">
        <v>70</v>
      </c>
      <c r="B7">
        <v>70</v>
      </c>
      <c r="C7">
        <v>70</v>
      </c>
      <c r="D7">
        <v>70</v>
      </c>
      <c r="E7">
        <v>70</v>
      </c>
    </row>
    <row r="8" spans="1:14" x14ac:dyDescent="0.25">
      <c r="A8">
        <v>80</v>
      </c>
      <c r="B8">
        <v>80</v>
      </c>
      <c r="C8">
        <v>80</v>
      </c>
      <c r="D8">
        <v>80</v>
      </c>
      <c r="E8">
        <v>80</v>
      </c>
    </row>
    <row r="9" spans="1:14" x14ac:dyDescent="0.25">
      <c r="A9">
        <v>90</v>
      </c>
      <c r="B9">
        <v>90</v>
      </c>
      <c r="C9">
        <v>90</v>
      </c>
      <c r="D9">
        <v>90</v>
      </c>
      <c r="E9">
        <v>90</v>
      </c>
    </row>
    <row r="10" spans="1:14" x14ac:dyDescent="0.25">
      <c r="A10">
        <v>100</v>
      </c>
      <c r="B10">
        <v>100</v>
      </c>
      <c r="C10">
        <v>100</v>
      </c>
      <c r="D10">
        <v>100</v>
      </c>
      <c r="E10">
        <v>100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AFD2F-4027-4E4F-A237-9B9706858E09}">
  <sheetPr codeName="Sheet6"/>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55498-33CC-4EE7-B38C-D5F9D436B20D}">
  <sheetPr codeName="Sheet7"/>
  <dimension ref="A1:F10"/>
  <sheetViews>
    <sheetView workbookViewId="0">
      <selection sqref="A1:F10"/>
    </sheetView>
  </sheetViews>
  <sheetFormatPr defaultRowHeight="15" x14ac:dyDescent="0.25"/>
  <sheetData>
    <row r="1" spans="1:6" x14ac:dyDescent="0.25">
      <c r="A1">
        <v>10</v>
      </c>
      <c r="B1">
        <v>10</v>
      </c>
      <c r="E1">
        <v>10</v>
      </c>
      <c r="F1">
        <v>10</v>
      </c>
    </row>
    <row r="2" spans="1:6" x14ac:dyDescent="0.25">
      <c r="A2">
        <v>20</v>
      </c>
      <c r="B2">
        <v>20</v>
      </c>
      <c r="C2">
        <v>20</v>
      </c>
      <c r="D2">
        <v>20</v>
      </c>
      <c r="E2">
        <v>20</v>
      </c>
      <c r="F2">
        <v>20</v>
      </c>
    </row>
    <row r="3" spans="1:6" x14ac:dyDescent="0.25">
      <c r="A3">
        <v>30</v>
      </c>
      <c r="B3">
        <v>30</v>
      </c>
      <c r="C3">
        <v>30</v>
      </c>
      <c r="D3">
        <v>30</v>
      </c>
      <c r="E3">
        <v>30</v>
      </c>
      <c r="F3">
        <v>30</v>
      </c>
    </row>
    <row r="4" spans="1:6" x14ac:dyDescent="0.25">
      <c r="A4">
        <v>40</v>
      </c>
      <c r="B4">
        <v>40</v>
      </c>
      <c r="C4">
        <v>40</v>
      </c>
      <c r="D4">
        <v>40</v>
      </c>
      <c r="E4">
        <v>40</v>
      </c>
      <c r="F4">
        <v>40</v>
      </c>
    </row>
    <row r="5" spans="1:6" x14ac:dyDescent="0.25">
      <c r="B5">
        <v>50</v>
      </c>
      <c r="C5">
        <v>50</v>
      </c>
      <c r="D5">
        <v>50</v>
      </c>
      <c r="E5">
        <v>50</v>
      </c>
    </row>
    <row r="6" spans="1:6" x14ac:dyDescent="0.25">
      <c r="B6">
        <v>60</v>
      </c>
      <c r="E6">
        <v>60</v>
      </c>
    </row>
    <row r="7" spans="1:6" x14ac:dyDescent="0.25">
      <c r="A7">
        <v>70</v>
      </c>
      <c r="B7">
        <v>70</v>
      </c>
      <c r="C7">
        <v>70</v>
      </c>
      <c r="D7">
        <v>70</v>
      </c>
      <c r="E7">
        <v>70</v>
      </c>
    </row>
    <row r="8" spans="1:6" x14ac:dyDescent="0.25">
      <c r="A8">
        <v>80</v>
      </c>
      <c r="B8">
        <v>80</v>
      </c>
      <c r="C8">
        <v>80</v>
      </c>
      <c r="D8">
        <v>80</v>
      </c>
      <c r="E8">
        <v>80</v>
      </c>
      <c r="F8">
        <v>80</v>
      </c>
    </row>
    <row r="9" spans="1:6" x14ac:dyDescent="0.25">
      <c r="A9">
        <v>90</v>
      </c>
      <c r="B9">
        <v>90</v>
      </c>
      <c r="C9">
        <v>90</v>
      </c>
      <c r="D9">
        <v>90</v>
      </c>
      <c r="E9">
        <v>90</v>
      </c>
      <c r="F9">
        <v>90</v>
      </c>
    </row>
    <row r="10" spans="1:6" x14ac:dyDescent="0.25">
      <c r="A10">
        <v>100</v>
      </c>
      <c r="B10">
        <v>100</v>
      </c>
      <c r="E10">
        <v>100</v>
      </c>
      <c r="F10">
        <v>100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C7D89-4056-4421-934B-98535849F569}">
  <sheetPr codeName="Sheet8"/>
  <dimension ref="A1:F10"/>
  <sheetViews>
    <sheetView workbookViewId="0"/>
  </sheetViews>
  <sheetFormatPr defaultRowHeight="15" x14ac:dyDescent="0.25"/>
  <sheetData>
    <row r="1" spans="1:6" x14ac:dyDescent="0.25">
      <c r="A1">
        <v>10</v>
      </c>
      <c r="B1">
        <v>10</v>
      </c>
      <c r="E1">
        <v>10</v>
      </c>
      <c r="F1">
        <v>10</v>
      </c>
    </row>
    <row r="2" spans="1:6" x14ac:dyDescent="0.25">
      <c r="A2">
        <v>20</v>
      </c>
      <c r="B2">
        <v>20</v>
      </c>
      <c r="C2">
        <v>20</v>
      </c>
      <c r="D2">
        <v>20</v>
      </c>
      <c r="E2">
        <v>20</v>
      </c>
      <c r="F2">
        <v>20</v>
      </c>
    </row>
    <row r="3" spans="1:6" x14ac:dyDescent="0.25">
      <c r="A3">
        <v>30</v>
      </c>
      <c r="B3">
        <v>30</v>
      </c>
      <c r="C3">
        <v>30</v>
      </c>
      <c r="D3">
        <v>30</v>
      </c>
      <c r="E3">
        <v>30</v>
      </c>
      <c r="F3">
        <v>30</v>
      </c>
    </row>
    <row r="4" spans="1:6" x14ac:dyDescent="0.25">
      <c r="A4">
        <v>40</v>
      </c>
      <c r="B4">
        <v>40</v>
      </c>
      <c r="C4">
        <v>40</v>
      </c>
      <c r="D4">
        <v>40</v>
      </c>
      <c r="E4">
        <v>40</v>
      </c>
      <c r="F4">
        <v>40</v>
      </c>
    </row>
    <row r="5" spans="1:6" x14ac:dyDescent="0.25">
      <c r="B5">
        <v>50</v>
      </c>
      <c r="C5">
        <v>50</v>
      </c>
      <c r="D5">
        <v>50</v>
      </c>
      <c r="E5">
        <v>50</v>
      </c>
    </row>
    <row r="6" spans="1:6" x14ac:dyDescent="0.25">
      <c r="B6">
        <v>60</v>
      </c>
      <c r="E6">
        <v>60</v>
      </c>
    </row>
    <row r="7" spans="1:6" x14ac:dyDescent="0.25">
      <c r="A7">
        <v>70</v>
      </c>
      <c r="B7">
        <v>70</v>
      </c>
      <c r="C7">
        <v>70</v>
      </c>
      <c r="D7">
        <v>70</v>
      </c>
      <c r="E7">
        <v>70</v>
      </c>
    </row>
    <row r="8" spans="1:6" x14ac:dyDescent="0.25">
      <c r="A8">
        <v>80</v>
      </c>
      <c r="B8">
        <v>80</v>
      </c>
      <c r="C8">
        <v>80</v>
      </c>
      <c r="D8">
        <v>80</v>
      </c>
      <c r="E8">
        <v>80</v>
      </c>
      <c r="F8">
        <v>80</v>
      </c>
    </row>
    <row r="9" spans="1:6" x14ac:dyDescent="0.25">
      <c r="A9">
        <v>90</v>
      </c>
      <c r="B9">
        <v>90</v>
      </c>
      <c r="C9">
        <v>90</v>
      </c>
      <c r="D9">
        <v>90</v>
      </c>
      <c r="E9">
        <v>90</v>
      </c>
      <c r="F9">
        <v>90</v>
      </c>
    </row>
    <row r="10" spans="1:6" x14ac:dyDescent="0.25">
      <c r="A10">
        <v>100</v>
      </c>
      <c r="B10">
        <v>100</v>
      </c>
      <c r="E10">
        <v>100</v>
      </c>
      <c r="F10">
        <v>100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47FEC-B5E3-4F3B-8973-D2421A37EB96}">
  <sheetPr codeName="Sheet9"/>
  <dimension ref="A1:F10"/>
  <sheetViews>
    <sheetView workbookViewId="0"/>
  </sheetViews>
  <sheetFormatPr defaultRowHeight="15" x14ac:dyDescent="0.25"/>
  <sheetData>
    <row r="1" spans="1:6" x14ac:dyDescent="0.25">
      <c r="A1">
        <v>10</v>
      </c>
      <c r="B1">
        <v>10</v>
      </c>
      <c r="E1">
        <v>10</v>
      </c>
      <c r="F1">
        <v>10</v>
      </c>
    </row>
    <row r="2" spans="1:6" x14ac:dyDescent="0.25">
      <c r="A2">
        <v>20</v>
      </c>
      <c r="B2">
        <v>20</v>
      </c>
      <c r="C2">
        <v>20</v>
      </c>
      <c r="D2">
        <v>20</v>
      </c>
      <c r="E2">
        <v>20</v>
      </c>
      <c r="F2">
        <v>20</v>
      </c>
    </row>
    <row r="3" spans="1:6" x14ac:dyDescent="0.25">
      <c r="A3">
        <v>30</v>
      </c>
      <c r="B3">
        <v>30</v>
      </c>
      <c r="C3">
        <v>30</v>
      </c>
      <c r="D3">
        <v>30</v>
      </c>
      <c r="E3">
        <v>30</v>
      </c>
      <c r="F3">
        <v>30</v>
      </c>
    </row>
    <row r="4" spans="1:6" x14ac:dyDescent="0.25">
      <c r="A4">
        <v>40</v>
      </c>
      <c r="B4">
        <v>40</v>
      </c>
      <c r="C4">
        <v>40</v>
      </c>
      <c r="D4">
        <v>40</v>
      </c>
      <c r="E4">
        <v>40</v>
      </c>
      <c r="F4">
        <v>40</v>
      </c>
    </row>
    <row r="5" spans="1:6" x14ac:dyDescent="0.25">
      <c r="B5">
        <v>50</v>
      </c>
      <c r="C5">
        <v>50</v>
      </c>
      <c r="D5">
        <v>50</v>
      </c>
      <c r="E5">
        <v>50</v>
      </c>
    </row>
    <row r="6" spans="1:6" x14ac:dyDescent="0.25">
      <c r="B6">
        <v>60</v>
      </c>
      <c r="E6">
        <v>60</v>
      </c>
    </row>
    <row r="7" spans="1:6" x14ac:dyDescent="0.25">
      <c r="A7">
        <v>70</v>
      </c>
      <c r="B7">
        <v>70</v>
      </c>
      <c r="C7">
        <v>70</v>
      </c>
      <c r="D7">
        <v>70</v>
      </c>
      <c r="E7">
        <v>70</v>
      </c>
    </row>
    <row r="8" spans="1:6" x14ac:dyDescent="0.25">
      <c r="A8">
        <v>80</v>
      </c>
      <c r="B8">
        <v>80</v>
      </c>
      <c r="C8">
        <v>80</v>
      </c>
      <c r="D8">
        <v>80</v>
      </c>
      <c r="E8">
        <v>80</v>
      </c>
      <c r="F8">
        <v>80</v>
      </c>
    </row>
    <row r="9" spans="1:6" x14ac:dyDescent="0.25">
      <c r="A9">
        <v>90</v>
      </c>
      <c r="B9">
        <v>90</v>
      </c>
      <c r="C9">
        <v>90</v>
      </c>
      <c r="D9">
        <v>90</v>
      </c>
      <c r="E9">
        <v>90</v>
      </c>
      <c r="F9">
        <v>90</v>
      </c>
    </row>
    <row r="10" spans="1:6" x14ac:dyDescent="0.25">
      <c r="A10">
        <v>100</v>
      </c>
      <c r="B10">
        <v>100</v>
      </c>
      <c r="E10">
        <v>100</v>
      </c>
      <c r="F10">
        <v>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8749C-2914-4B6B-BFC8-DA6EC60FCE0F}">
  <sheetPr codeName="Sheet10"/>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2340C-DC56-43F9-974F-3A82956783CA}">
  <sheetPr codeName="Sheet11"/>
  <dimension ref="A1:M10"/>
  <sheetViews>
    <sheetView workbookViewId="0">
      <selection activeCell="B10" sqref="B10"/>
    </sheetView>
  </sheetViews>
  <sheetFormatPr defaultRowHeight="15" x14ac:dyDescent="0.25"/>
  <cols>
    <col min="1" max="1" width="12.7109375" customWidth="1"/>
    <col min="2" max="2" width="15.42578125" customWidth="1"/>
  </cols>
  <sheetData>
    <row r="1" spans="1:13" x14ac:dyDescent="0.25">
      <c r="A1" t="s">
        <v>16</v>
      </c>
      <c r="B1" s="3" t="s">
        <v>18</v>
      </c>
      <c r="C1" s="3"/>
      <c r="D1" s="3"/>
      <c r="E1" s="3"/>
      <c r="F1" s="3"/>
      <c r="G1" s="3"/>
      <c r="H1" s="3"/>
      <c r="I1" s="3"/>
      <c r="J1" s="3"/>
      <c r="K1" s="3"/>
      <c r="L1" s="3"/>
      <c r="M1" s="3"/>
    </row>
    <row r="2" spans="1:13" x14ac:dyDescent="0.25">
      <c r="B2" s="3" t="s">
        <v>19</v>
      </c>
      <c r="C2" s="3"/>
      <c r="D2" s="3"/>
      <c r="E2" s="3"/>
      <c r="F2" s="3"/>
      <c r="G2" s="3"/>
      <c r="H2" s="3"/>
      <c r="I2" s="3"/>
      <c r="J2" s="3"/>
      <c r="K2" s="3"/>
      <c r="L2" s="3"/>
      <c r="M2" s="3"/>
    </row>
    <row r="3" spans="1:13" x14ac:dyDescent="0.25">
      <c r="B3" s="3" t="s">
        <v>20</v>
      </c>
      <c r="C3" s="3"/>
      <c r="D3" s="3"/>
      <c r="E3" s="3"/>
      <c r="F3" s="3"/>
      <c r="G3" s="3"/>
      <c r="H3" s="3"/>
      <c r="I3" s="3"/>
      <c r="J3" s="3"/>
      <c r="K3" s="3"/>
      <c r="L3" s="3"/>
      <c r="M3" s="3"/>
    </row>
    <row r="5" spans="1:13" x14ac:dyDescent="0.25">
      <c r="B5" t="s">
        <v>21</v>
      </c>
    </row>
    <row r="7" spans="1:13" x14ac:dyDescent="0.25">
      <c r="B7" s="4" t="s">
        <v>22</v>
      </c>
      <c r="C7" s="4"/>
      <c r="D7" s="4"/>
      <c r="E7" s="4"/>
      <c r="F7" s="4"/>
      <c r="G7" s="4"/>
      <c r="H7" s="4"/>
      <c r="I7" s="4"/>
      <c r="J7" s="4"/>
      <c r="K7" s="4"/>
      <c r="L7" s="4"/>
      <c r="M7" s="4"/>
    </row>
    <row r="10" spans="1:13" ht="36" x14ac:dyDescent="0.55000000000000004">
      <c r="A10" s="5" t="s">
        <v>6</v>
      </c>
      <c r="B10" s="6">
        <v>60000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EC5BB-7C41-49D3-923F-AE0CA945ED51}">
  <sheetPr codeName="Sheet12"/>
  <dimension ref="A1:H11"/>
  <sheetViews>
    <sheetView workbookViewId="0">
      <selection activeCell="C12" sqref="C12"/>
    </sheetView>
  </sheetViews>
  <sheetFormatPr defaultRowHeight="15" x14ac:dyDescent="0.25"/>
  <sheetData>
    <row r="1" spans="1:8" x14ac:dyDescent="0.25">
      <c r="A1" s="7" t="s">
        <v>23</v>
      </c>
      <c r="B1" s="7" t="s">
        <v>24</v>
      </c>
      <c r="C1" s="7" t="s">
        <v>25</v>
      </c>
      <c r="F1" s="9" t="s">
        <v>37</v>
      </c>
      <c r="H1" t="s">
        <v>38</v>
      </c>
    </row>
    <row r="2" spans="1:8" x14ac:dyDescent="0.25">
      <c r="A2" s="7" t="s">
        <v>26</v>
      </c>
      <c r="B2" s="7">
        <v>25</v>
      </c>
      <c r="C2" s="8" t="str">
        <f t="shared" ref="C2:C11" si="0">IF($B2&gt;50,"PASS","FAIL")</f>
        <v>FAIL</v>
      </c>
      <c r="H2" t="s">
        <v>39</v>
      </c>
    </row>
    <row r="3" spans="1:8" x14ac:dyDescent="0.25">
      <c r="A3" s="7" t="s">
        <v>28</v>
      </c>
      <c r="B3" s="7">
        <v>36</v>
      </c>
      <c r="C3" s="8" t="str">
        <f t="shared" si="0"/>
        <v>FAIL</v>
      </c>
    </row>
    <row r="4" spans="1:8" x14ac:dyDescent="0.25">
      <c r="A4" s="7" t="s">
        <v>29</v>
      </c>
      <c r="B4" s="7">
        <v>98</v>
      </c>
      <c r="C4" s="8" t="str">
        <f t="shared" si="0"/>
        <v>PASS</v>
      </c>
    </row>
    <row r="5" spans="1:8" x14ac:dyDescent="0.25">
      <c r="A5" s="7" t="s">
        <v>30</v>
      </c>
      <c r="B5" s="7">
        <v>74</v>
      </c>
      <c r="C5" s="8" t="str">
        <f t="shared" si="0"/>
        <v>PASS</v>
      </c>
    </row>
    <row r="6" spans="1:8" x14ac:dyDescent="0.25">
      <c r="A6" s="7" t="s">
        <v>31</v>
      </c>
      <c r="B6" s="7">
        <v>12</v>
      </c>
      <c r="C6" s="8" t="str">
        <f t="shared" si="0"/>
        <v>FAIL</v>
      </c>
    </row>
    <row r="7" spans="1:8" x14ac:dyDescent="0.25">
      <c r="A7" s="7" t="s">
        <v>32</v>
      </c>
      <c r="B7" s="7">
        <v>36</v>
      </c>
      <c r="C7" s="8" t="str">
        <f t="shared" si="0"/>
        <v>FAIL</v>
      </c>
    </row>
    <row r="8" spans="1:8" x14ac:dyDescent="0.25">
      <c r="A8" s="7" t="s">
        <v>33</v>
      </c>
      <c r="B8" s="7">
        <v>94</v>
      </c>
      <c r="C8" s="8" t="str">
        <f t="shared" si="0"/>
        <v>PASS</v>
      </c>
    </row>
    <row r="9" spans="1:8" x14ac:dyDescent="0.25">
      <c r="A9" s="7" t="s">
        <v>34</v>
      </c>
      <c r="B9" s="7">
        <v>76</v>
      </c>
      <c r="C9" s="8" t="str">
        <f t="shared" si="0"/>
        <v>PASS</v>
      </c>
    </row>
    <row r="10" spans="1:8" x14ac:dyDescent="0.25">
      <c r="A10" s="7" t="s">
        <v>35</v>
      </c>
      <c r="B10" s="7">
        <v>58</v>
      </c>
      <c r="C10" s="8" t="str">
        <f t="shared" si="0"/>
        <v>PASS</v>
      </c>
    </row>
    <row r="11" spans="1:8" x14ac:dyDescent="0.25">
      <c r="A11" s="7" t="s">
        <v>36</v>
      </c>
      <c r="B11" s="7">
        <v>16</v>
      </c>
      <c r="C11" s="8" t="str">
        <f t="shared" si="0"/>
        <v>FAIL</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5D20F-AEF2-49B9-9F9B-D6299631A026}">
  <sheetPr codeName="Sheet13"/>
  <dimension ref="A1:B1"/>
  <sheetViews>
    <sheetView workbookViewId="0"/>
  </sheetViews>
  <sheetFormatPr defaultRowHeight="15" x14ac:dyDescent="0.25"/>
  <sheetData>
    <row r="1" spans="1:2" x14ac:dyDescent="0.25">
      <c r="A1" t="s">
        <v>40</v>
      </c>
      <c r="B1" s="4">
        <v>60000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03A10-945A-4546-A448-F51FE0842B44}">
  <sheetPr codeName="Sheet14"/>
  <dimension ref="A1:J10"/>
  <sheetViews>
    <sheetView workbookViewId="0">
      <selection activeCell="A10" sqref="A10"/>
    </sheetView>
  </sheetViews>
  <sheetFormatPr defaultRowHeight="15" x14ac:dyDescent="0.25"/>
  <sheetData>
    <row r="1" spans="1:10" x14ac:dyDescent="0.25">
      <c r="A1">
        <v>20</v>
      </c>
      <c r="E1" t="s">
        <v>16</v>
      </c>
      <c r="F1" t="s">
        <v>41</v>
      </c>
    </row>
    <row r="2" spans="1:10" x14ac:dyDescent="0.25">
      <c r="A2">
        <v>40</v>
      </c>
      <c r="F2" t="s">
        <v>42</v>
      </c>
    </row>
    <row r="3" spans="1:10" x14ac:dyDescent="0.25">
      <c r="A3">
        <v>60</v>
      </c>
    </row>
    <row r="4" spans="1:10" x14ac:dyDescent="0.25">
      <c r="A4">
        <v>80</v>
      </c>
    </row>
    <row r="5" spans="1:10" x14ac:dyDescent="0.25">
      <c r="A5">
        <v>100</v>
      </c>
      <c r="E5" t="s">
        <v>43</v>
      </c>
      <c r="F5" t="s">
        <v>44</v>
      </c>
    </row>
    <row r="6" spans="1:10" x14ac:dyDescent="0.25">
      <c r="A6">
        <v>120</v>
      </c>
      <c r="E6" t="s">
        <v>45</v>
      </c>
      <c r="F6" t="s">
        <v>46</v>
      </c>
      <c r="I6" t="s">
        <v>50</v>
      </c>
      <c r="J6" t="s">
        <v>51</v>
      </c>
    </row>
    <row r="7" spans="1:10" x14ac:dyDescent="0.25">
      <c r="A7">
        <v>140</v>
      </c>
      <c r="E7" t="s">
        <v>47</v>
      </c>
      <c r="F7" t="s">
        <v>48</v>
      </c>
    </row>
    <row r="8" spans="1:10" x14ac:dyDescent="0.25">
      <c r="A8">
        <v>160</v>
      </c>
      <c r="F8" t="s">
        <v>49</v>
      </c>
    </row>
    <row r="9" spans="1:10" x14ac:dyDescent="0.25">
      <c r="A9">
        <v>180</v>
      </c>
    </row>
    <row r="10" spans="1:10" x14ac:dyDescent="0.25">
      <c r="A10">
        <v>200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791A-BB6E-49B2-A6AB-F9CF8EF59664}">
  <sheetPr codeName="Sheet15"/>
  <dimension ref="A1:M11"/>
  <sheetViews>
    <sheetView workbookViewId="0">
      <selection activeCell="C12" sqref="C12"/>
    </sheetView>
  </sheetViews>
  <sheetFormatPr defaultRowHeight="15" x14ac:dyDescent="0.25"/>
  <sheetData>
    <row r="1" spans="1:13" x14ac:dyDescent="0.25">
      <c r="A1" s="7" t="s">
        <v>23</v>
      </c>
      <c r="B1" s="7" t="s">
        <v>24</v>
      </c>
      <c r="C1" s="7" t="s">
        <v>25</v>
      </c>
      <c r="F1" s="10" t="s">
        <v>52</v>
      </c>
    </row>
    <row r="2" spans="1:13" x14ac:dyDescent="0.25">
      <c r="A2" s="7" t="s">
        <v>26</v>
      </c>
      <c r="B2" s="7">
        <v>25</v>
      </c>
      <c r="C2" t="str">
        <f t="shared" ref="C2:C11" si="0">IF($B2&gt;50,"PASS","FAIL")</f>
        <v>FAIL</v>
      </c>
    </row>
    <row r="3" spans="1:13" x14ac:dyDescent="0.25">
      <c r="A3" s="7" t="s">
        <v>28</v>
      </c>
      <c r="B3" s="7">
        <v>36</v>
      </c>
      <c r="C3" t="str">
        <f t="shared" si="0"/>
        <v>FAIL</v>
      </c>
      <c r="F3" t="s">
        <v>43</v>
      </c>
      <c r="G3" t="s">
        <v>53</v>
      </c>
    </row>
    <row r="4" spans="1:13" x14ac:dyDescent="0.25">
      <c r="A4" s="7" t="s">
        <v>29</v>
      </c>
      <c r="B4" s="7">
        <v>98</v>
      </c>
      <c r="C4" t="str">
        <f t="shared" si="0"/>
        <v>PASS</v>
      </c>
    </row>
    <row r="5" spans="1:13" x14ac:dyDescent="0.25">
      <c r="A5" s="7" t="s">
        <v>30</v>
      </c>
      <c r="B5" s="7">
        <v>74</v>
      </c>
      <c r="C5" t="str">
        <f t="shared" si="0"/>
        <v>PASS</v>
      </c>
      <c r="G5" s="11" t="s">
        <v>54</v>
      </c>
      <c r="H5" s="12"/>
      <c r="I5" s="12"/>
      <c r="J5" s="12"/>
      <c r="K5" s="12"/>
      <c r="L5" s="12"/>
      <c r="M5" s="12"/>
    </row>
    <row r="6" spans="1:13" x14ac:dyDescent="0.25">
      <c r="A6" s="7" t="s">
        <v>31</v>
      </c>
      <c r="B6" s="7">
        <v>12</v>
      </c>
      <c r="C6" t="str">
        <f t="shared" si="0"/>
        <v>FAIL</v>
      </c>
      <c r="G6" s="11" t="s">
        <v>55</v>
      </c>
      <c r="H6" s="12"/>
      <c r="I6" s="12"/>
      <c r="J6" s="12"/>
      <c r="K6" s="12"/>
      <c r="L6" s="12"/>
      <c r="M6" s="12"/>
    </row>
    <row r="7" spans="1:13" x14ac:dyDescent="0.25">
      <c r="A7" s="7" t="s">
        <v>32</v>
      </c>
      <c r="B7" s="7">
        <v>36</v>
      </c>
      <c r="C7" t="str">
        <f t="shared" si="0"/>
        <v>FAIL</v>
      </c>
      <c r="G7" s="11" t="s">
        <v>56</v>
      </c>
      <c r="H7" s="12"/>
      <c r="I7" s="12"/>
      <c r="J7" s="12"/>
      <c r="K7" s="12"/>
      <c r="L7" s="12"/>
      <c r="M7" s="12"/>
    </row>
    <row r="8" spans="1:13" x14ac:dyDescent="0.25">
      <c r="A8" s="7" t="s">
        <v>33</v>
      </c>
      <c r="B8" s="7">
        <v>94</v>
      </c>
      <c r="C8" t="str">
        <f t="shared" si="0"/>
        <v>PASS</v>
      </c>
    </row>
    <row r="9" spans="1:13" x14ac:dyDescent="0.25">
      <c r="A9" s="7" t="s">
        <v>34</v>
      </c>
      <c r="B9" s="7">
        <v>76</v>
      </c>
      <c r="C9" t="str">
        <f t="shared" si="0"/>
        <v>PASS</v>
      </c>
    </row>
    <row r="10" spans="1:13" x14ac:dyDescent="0.25">
      <c r="A10" s="7" t="s">
        <v>35</v>
      </c>
      <c r="B10" s="7">
        <v>58</v>
      </c>
      <c r="C10" t="str">
        <f t="shared" si="0"/>
        <v>PASS</v>
      </c>
    </row>
    <row r="11" spans="1:13" x14ac:dyDescent="0.25">
      <c r="A11" s="7" t="s">
        <v>36</v>
      </c>
      <c r="B11" s="7">
        <v>16</v>
      </c>
      <c r="C11" t="str">
        <f t="shared" si="0"/>
        <v>FAIL</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A72E7-2F97-42AD-A7C1-8A053DAA12D9}">
  <sheetPr codeName="Sheet16"/>
  <dimension ref="A1:X11"/>
  <sheetViews>
    <sheetView workbookViewId="0">
      <selection activeCell="A2" sqref="A2"/>
    </sheetView>
  </sheetViews>
  <sheetFormatPr defaultRowHeight="15" x14ac:dyDescent="0.25"/>
  <sheetData>
    <row r="1" spans="1:24" x14ac:dyDescent="0.25">
      <c r="A1" s="7" t="s">
        <v>23</v>
      </c>
      <c r="B1" s="7" t="s">
        <v>24</v>
      </c>
      <c r="C1" s="7" t="s">
        <v>57</v>
      </c>
      <c r="D1" s="7" t="s">
        <v>58</v>
      </c>
      <c r="X1">
        <v>10</v>
      </c>
    </row>
    <row r="2" spans="1:24" x14ac:dyDescent="0.25">
      <c r="A2" s="7" t="s">
        <v>26</v>
      </c>
      <c r="B2" s="7">
        <v>92</v>
      </c>
    </row>
    <row r="3" spans="1:24" x14ac:dyDescent="0.25">
      <c r="A3" s="7" t="s">
        <v>28</v>
      </c>
      <c r="B3" s="7">
        <v>36</v>
      </c>
    </row>
    <row r="4" spans="1:24" x14ac:dyDescent="0.25">
      <c r="A4" s="7" t="s">
        <v>29</v>
      </c>
      <c r="B4" s="7">
        <v>98</v>
      </c>
      <c r="F4" t="s">
        <v>59</v>
      </c>
      <c r="G4" s="12"/>
      <c r="I4" t="s">
        <v>63</v>
      </c>
      <c r="J4" s="11" t="s">
        <v>64</v>
      </c>
      <c r="K4" s="11"/>
      <c r="L4" s="11"/>
      <c r="M4" s="11"/>
      <c r="N4" s="11"/>
      <c r="O4" s="11"/>
    </row>
    <row r="5" spans="1:24" x14ac:dyDescent="0.25">
      <c r="A5" s="7" t="s">
        <v>30</v>
      </c>
      <c r="B5" s="7">
        <v>74</v>
      </c>
      <c r="F5" t="s">
        <v>60</v>
      </c>
      <c r="G5" s="4"/>
      <c r="J5" s="11" t="s">
        <v>65</v>
      </c>
      <c r="K5" s="11"/>
      <c r="L5" s="11"/>
      <c r="M5" s="11"/>
      <c r="N5" s="11"/>
      <c r="O5" s="11"/>
    </row>
    <row r="6" spans="1:24" x14ac:dyDescent="0.25">
      <c r="A6" s="7" t="s">
        <v>31</v>
      </c>
      <c r="B6" s="7">
        <v>12</v>
      </c>
      <c r="F6" t="s">
        <v>61</v>
      </c>
      <c r="G6" s="14"/>
      <c r="J6" s="11" t="s">
        <v>66</v>
      </c>
      <c r="K6" s="11"/>
      <c r="L6" s="11"/>
      <c r="M6" s="11"/>
      <c r="N6" s="11"/>
      <c r="O6" s="11"/>
    </row>
    <row r="7" spans="1:24" x14ac:dyDescent="0.25">
      <c r="A7" s="7" t="s">
        <v>32</v>
      </c>
      <c r="B7" s="7">
        <v>86</v>
      </c>
      <c r="F7" t="s">
        <v>62</v>
      </c>
      <c r="G7" s="13"/>
    </row>
    <row r="8" spans="1:24" x14ac:dyDescent="0.25">
      <c r="A8" s="7" t="s">
        <v>33</v>
      </c>
      <c r="B8" s="7">
        <v>94</v>
      </c>
      <c r="F8" t="s">
        <v>27</v>
      </c>
      <c r="G8" s="13"/>
    </row>
    <row r="9" spans="1:24" x14ac:dyDescent="0.25">
      <c r="A9" s="7" t="s">
        <v>34</v>
      </c>
      <c r="B9" s="7">
        <v>76</v>
      </c>
    </row>
    <row r="10" spans="1:24" x14ac:dyDescent="0.25">
      <c r="A10" s="7" t="s">
        <v>35</v>
      </c>
      <c r="B10" s="7">
        <v>58</v>
      </c>
    </row>
    <row r="11" spans="1:24" x14ac:dyDescent="0.25">
      <c r="A11" s="7" t="s">
        <v>36</v>
      </c>
      <c r="B11" s="7">
        <v>16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DF663-15E8-4FE7-A1B1-8EE8FA998D34}">
  <sheetPr codeName="Sheet17"/>
  <dimension ref="D1:X9"/>
  <sheetViews>
    <sheetView workbookViewId="0"/>
  </sheetViews>
  <sheetFormatPr defaultRowHeight="15" x14ac:dyDescent="0.25"/>
  <sheetData>
    <row r="1" spans="4:24" x14ac:dyDescent="0.25">
      <c r="D1" t="s">
        <v>16</v>
      </c>
      <c r="E1" t="s">
        <v>68</v>
      </c>
      <c r="X1">
        <v>10</v>
      </c>
    </row>
    <row r="2" spans="4:24" x14ac:dyDescent="0.25">
      <c r="E2" t="s">
        <v>69</v>
      </c>
    </row>
    <row r="5" spans="4:24" x14ac:dyDescent="0.25">
      <c r="D5" s="11" t="s">
        <v>63</v>
      </c>
      <c r="E5" s="11"/>
      <c r="F5" s="11"/>
      <c r="G5" s="11"/>
      <c r="H5" s="11"/>
      <c r="I5" s="11"/>
    </row>
    <row r="6" spans="4:24" x14ac:dyDescent="0.25">
      <c r="D6" s="11" t="s">
        <v>70</v>
      </c>
      <c r="E6" s="11"/>
      <c r="F6" s="11"/>
      <c r="G6" s="11"/>
      <c r="H6" s="11"/>
      <c r="I6" s="11"/>
    </row>
    <row r="7" spans="4:24" x14ac:dyDescent="0.25">
      <c r="D7" s="11"/>
      <c r="E7" s="11"/>
      <c r="F7" s="11"/>
      <c r="G7" s="11"/>
      <c r="H7" s="11"/>
      <c r="I7" s="11"/>
    </row>
    <row r="8" spans="4:24" x14ac:dyDescent="0.25">
      <c r="D8" s="11" t="s">
        <v>71</v>
      </c>
      <c r="E8" s="11"/>
      <c r="F8" s="11"/>
      <c r="G8" s="11"/>
      <c r="H8" s="11"/>
      <c r="I8" s="11"/>
    </row>
    <row r="9" spans="4:24" x14ac:dyDescent="0.25">
      <c r="D9" s="11" t="s">
        <v>72</v>
      </c>
      <c r="E9" s="11"/>
      <c r="F9" s="11"/>
      <c r="G9" s="11"/>
      <c r="H9" s="11"/>
      <c r="I9"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FE26D-D32A-4503-A0EC-95537EF6C4B3}">
  <sheetPr codeName="Sheet18"/>
  <dimension ref="A1:X28"/>
  <sheetViews>
    <sheetView workbookViewId="0">
      <selection activeCell="B1" sqref="B1"/>
    </sheetView>
  </sheetViews>
  <sheetFormatPr defaultRowHeight="15" x14ac:dyDescent="0.25"/>
  <sheetData>
    <row r="1" spans="1:24" x14ac:dyDescent="0.25">
      <c r="A1" t="s">
        <v>74</v>
      </c>
      <c r="E1" t="s">
        <v>14</v>
      </c>
      <c r="F1" t="s">
        <v>73</v>
      </c>
      <c r="X1">
        <v>10</v>
      </c>
    </row>
    <row r="2" spans="1:24" x14ac:dyDescent="0.25">
      <c r="A2" t="s">
        <v>395</v>
      </c>
    </row>
    <row r="3" spans="1:24" x14ac:dyDescent="0.25">
      <c r="A3" t="s">
        <v>396</v>
      </c>
    </row>
    <row r="4" spans="1:24" x14ac:dyDescent="0.25">
      <c r="A4" t="s">
        <v>397</v>
      </c>
    </row>
    <row r="5" spans="1:24" x14ac:dyDescent="0.25">
      <c r="A5" t="s">
        <v>398</v>
      </c>
    </row>
    <row r="6" spans="1:24" x14ac:dyDescent="0.25">
      <c r="A6" t="s">
        <v>399</v>
      </c>
    </row>
    <row r="7" spans="1:24" x14ac:dyDescent="0.25">
      <c r="A7" t="s">
        <v>75</v>
      </c>
    </row>
    <row r="8" spans="1:24" x14ac:dyDescent="0.25">
      <c r="A8" t="s">
        <v>76</v>
      </c>
    </row>
    <row r="9" spans="1:24" x14ac:dyDescent="0.25">
      <c r="A9" t="s">
        <v>77</v>
      </c>
    </row>
    <row r="10" spans="1:24" x14ac:dyDescent="0.25">
      <c r="A10" t="s">
        <v>78</v>
      </c>
    </row>
    <row r="11" spans="1:24" x14ac:dyDescent="0.25">
      <c r="A11" t="s">
        <v>79</v>
      </c>
    </row>
    <row r="12" spans="1:24" x14ac:dyDescent="0.25">
      <c r="A12" t="s">
        <v>80</v>
      </c>
    </row>
    <row r="13" spans="1:24" x14ac:dyDescent="0.25">
      <c r="A13" t="s">
        <v>81</v>
      </c>
    </row>
    <row r="14" spans="1:24" x14ac:dyDescent="0.25">
      <c r="A14" t="s">
        <v>82</v>
      </c>
    </row>
    <row r="15" spans="1:24" x14ac:dyDescent="0.25">
      <c r="A15" t="s">
        <v>83</v>
      </c>
    </row>
    <row r="16" spans="1:24" x14ac:dyDescent="0.25">
      <c r="A16" t="s">
        <v>84</v>
      </c>
    </row>
    <row r="17" spans="1:1" x14ac:dyDescent="0.25">
      <c r="A17" t="s">
        <v>85</v>
      </c>
    </row>
    <row r="18" spans="1:1" x14ac:dyDescent="0.25">
      <c r="A18" t="s">
        <v>86</v>
      </c>
    </row>
    <row r="19" spans="1:1" x14ac:dyDescent="0.25">
      <c r="A19" t="s">
        <v>87</v>
      </c>
    </row>
    <row r="20" spans="1:1" x14ac:dyDescent="0.25">
      <c r="A20" t="s">
        <v>88</v>
      </c>
    </row>
    <row r="21" spans="1:1" x14ac:dyDescent="0.25">
      <c r="A21" t="s">
        <v>89</v>
      </c>
    </row>
    <row r="22" spans="1:1" x14ac:dyDescent="0.25">
      <c r="A22" t="s">
        <v>90</v>
      </c>
    </row>
    <row r="23" spans="1:1" x14ac:dyDescent="0.25">
      <c r="A23" t="s">
        <v>91</v>
      </c>
    </row>
    <row r="24" spans="1:1" x14ac:dyDescent="0.25">
      <c r="A24" t="s">
        <v>99</v>
      </c>
    </row>
    <row r="25" spans="1:1" x14ac:dyDescent="0.25">
      <c r="A25" t="s">
        <v>205</v>
      </c>
    </row>
    <row r="26" spans="1:1" x14ac:dyDescent="0.25">
      <c r="A26" t="s">
        <v>400</v>
      </c>
    </row>
    <row r="27" spans="1:1" x14ac:dyDescent="0.25">
      <c r="A27" t="s">
        <v>401</v>
      </c>
    </row>
    <row r="28" spans="1:1" x14ac:dyDescent="0.25">
      <c r="A28" t="s">
        <v>402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81102-8A59-4294-AE5E-E75BA9ADB099}">
  <sheetPr codeName="Sheet19"/>
  <dimension ref="A1:B28"/>
  <sheetViews>
    <sheetView workbookViewId="0"/>
  </sheetViews>
  <sheetFormatPr defaultRowHeight="15" x14ac:dyDescent="0.25"/>
  <cols>
    <col min="1" max="1" width="31.7109375" bestFit="1" customWidth="1"/>
  </cols>
  <sheetData>
    <row r="1" spans="1:2" x14ac:dyDescent="0.25">
      <c r="A1" s="92" t="s">
        <v>74</v>
      </c>
      <c r="B1" s="91" t="s">
        <v>26</v>
      </c>
    </row>
    <row r="2" spans="1:2" x14ac:dyDescent="0.25">
      <c r="A2" s="92" t="s">
        <v>395</v>
      </c>
      <c r="B2" s="91" t="s">
        <v>28</v>
      </c>
    </row>
    <row r="3" spans="1:2" x14ac:dyDescent="0.25">
      <c r="A3" s="92" t="s">
        <v>396</v>
      </c>
      <c r="B3" s="91" t="s">
        <v>29</v>
      </c>
    </row>
    <row r="4" spans="1:2" x14ac:dyDescent="0.25">
      <c r="A4" s="92" t="s">
        <v>397</v>
      </c>
      <c r="B4" s="91" t="s">
        <v>30</v>
      </c>
    </row>
    <row r="5" spans="1:2" x14ac:dyDescent="0.25">
      <c r="A5" s="92" t="s">
        <v>398</v>
      </c>
      <c r="B5" s="91" t="s">
        <v>31</v>
      </c>
    </row>
    <row r="6" spans="1:2" x14ac:dyDescent="0.25">
      <c r="A6" s="92" t="s">
        <v>399</v>
      </c>
      <c r="B6" s="91" t="s">
        <v>32</v>
      </c>
    </row>
    <row r="7" spans="1:2" x14ac:dyDescent="0.25">
      <c r="A7" s="92" t="s">
        <v>75</v>
      </c>
      <c r="B7" s="91" t="s">
        <v>33</v>
      </c>
    </row>
    <row r="8" spans="1:2" x14ac:dyDescent="0.25">
      <c r="A8" s="92" t="s">
        <v>76</v>
      </c>
      <c r="B8" s="91" t="s">
        <v>34</v>
      </c>
    </row>
    <row r="9" spans="1:2" x14ac:dyDescent="0.25">
      <c r="A9" s="92" t="s">
        <v>77</v>
      </c>
      <c r="B9" s="91" t="s">
        <v>35</v>
      </c>
    </row>
    <row r="10" spans="1:2" x14ac:dyDescent="0.25">
      <c r="A10" s="92" t="s">
        <v>78</v>
      </c>
      <c r="B10" s="91" t="s">
        <v>36</v>
      </c>
    </row>
    <row r="11" spans="1:2" x14ac:dyDescent="0.25">
      <c r="A11" s="92" t="s">
        <v>79</v>
      </c>
      <c r="B11" s="91" t="s">
        <v>95</v>
      </c>
    </row>
    <row r="12" spans="1:2" x14ac:dyDescent="0.25">
      <c r="A12" s="92" t="s">
        <v>80</v>
      </c>
      <c r="B12" s="91" t="s">
        <v>94</v>
      </c>
    </row>
    <row r="13" spans="1:2" x14ac:dyDescent="0.25">
      <c r="A13" s="92" t="s">
        <v>81</v>
      </c>
      <c r="B13" s="91" t="s">
        <v>96</v>
      </c>
    </row>
    <row r="14" spans="1:2" x14ac:dyDescent="0.25">
      <c r="A14" s="92" t="s">
        <v>82</v>
      </c>
      <c r="B14" s="91" t="s">
        <v>93</v>
      </c>
    </row>
    <row r="15" spans="1:2" x14ac:dyDescent="0.25">
      <c r="A15" s="92" t="s">
        <v>83</v>
      </c>
      <c r="B15" s="91" t="s">
        <v>92</v>
      </c>
    </row>
    <row r="16" spans="1:2" x14ac:dyDescent="0.25">
      <c r="A16" s="92" t="s">
        <v>84</v>
      </c>
      <c r="B16" s="91" t="s">
        <v>97</v>
      </c>
    </row>
    <row r="17" spans="1:2" x14ac:dyDescent="0.25">
      <c r="A17" s="92" t="s">
        <v>85</v>
      </c>
      <c r="B17" s="91" t="s">
        <v>14</v>
      </c>
    </row>
    <row r="18" spans="1:2" x14ac:dyDescent="0.25">
      <c r="A18" s="92" t="s">
        <v>86</v>
      </c>
      <c r="B18" s="91" t="s">
        <v>98</v>
      </c>
    </row>
    <row r="19" spans="1:2" x14ac:dyDescent="0.25">
      <c r="A19" s="92" t="s">
        <v>87</v>
      </c>
      <c r="B19" s="91" t="s">
        <v>67</v>
      </c>
    </row>
    <row r="20" spans="1:2" x14ac:dyDescent="0.25">
      <c r="A20" s="92" t="s">
        <v>88</v>
      </c>
      <c r="B20" s="91" t="s">
        <v>403</v>
      </c>
    </row>
    <row r="21" spans="1:2" x14ac:dyDescent="0.25">
      <c r="A21" s="92" t="s">
        <v>89</v>
      </c>
      <c r="B21" s="91" t="s">
        <v>404</v>
      </c>
    </row>
    <row r="22" spans="1:2" x14ac:dyDescent="0.25">
      <c r="A22" s="92" t="s">
        <v>90</v>
      </c>
      <c r="B22" s="91" t="s">
        <v>405</v>
      </c>
    </row>
    <row r="23" spans="1:2" x14ac:dyDescent="0.25">
      <c r="A23" s="92" t="s">
        <v>91</v>
      </c>
      <c r="B23" s="91" t="s">
        <v>406</v>
      </c>
    </row>
    <row r="24" spans="1:2" x14ac:dyDescent="0.25">
      <c r="A24" s="92" t="s">
        <v>99</v>
      </c>
      <c r="B24" s="91" t="s">
        <v>51</v>
      </c>
    </row>
    <row r="25" spans="1:2" x14ac:dyDescent="0.25">
      <c r="A25" s="92" t="s">
        <v>205</v>
      </c>
      <c r="B25" s="91" t="s">
        <v>100</v>
      </c>
    </row>
    <row r="26" spans="1:2" x14ac:dyDescent="0.25">
      <c r="A26" s="92" t="s">
        <v>400</v>
      </c>
      <c r="B26" s="91" t="s">
        <v>407</v>
      </c>
    </row>
    <row r="27" spans="1:2" x14ac:dyDescent="0.25">
      <c r="A27" s="92" t="s">
        <v>401</v>
      </c>
      <c r="B27" s="91" t="s">
        <v>408</v>
      </c>
    </row>
    <row r="28" spans="1:2" x14ac:dyDescent="0.25">
      <c r="A28" s="92" t="s">
        <v>402</v>
      </c>
      <c r="B28" s="91" t="s">
        <v>409</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6462A-E1D4-4AD3-AC8D-195698ABCAF1}">
  <sheetPr codeName="Sheet20"/>
  <dimension ref="A1:C11"/>
  <sheetViews>
    <sheetView workbookViewId="0"/>
  </sheetViews>
  <sheetFormatPr defaultRowHeight="15" x14ac:dyDescent="0.25"/>
  <sheetData>
    <row r="1" spans="1:3" x14ac:dyDescent="0.25">
      <c r="A1" s="15" t="s">
        <v>51</v>
      </c>
      <c r="B1" s="15" t="s">
        <v>100</v>
      </c>
      <c r="C1" s="15" t="s">
        <v>101</v>
      </c>
    </row>
    <row r="2" spans="1:3" x14ac:dyDescent="0.25">
      <c r="A2" s="16">
        <v>25</v>
      </c>
      <c r="B2" s="16">
        <v>9</v>
      </c>
      <c r="C2" s="16">
        <v>34</v>
      </c>
    </row>
    <row r="3" spans="1:3" x14ac:dyDescent="0.25">
      <c r="A3" s="16">
        <v>36</v>
      </c>
      <c r="B3" s="16">
        <v>3</v>
      </c>
      <c r="C3" s="16">
        <v>39</v>
      </c>
    </row>
    <row r="4" spans="1:3" x14ac:dyDescent="0.25">
      <c r="A4" s="16"/>
      <c r="B4" s="16">
        <v>6</v>
      </c>
      <c r="C4" s="16">
        <v>6</v>
      </c>
    </row>
    <row r="5" spans="1:3" x14ac:dyDescent="0.25">
      <c r="A5" s="16">
        <v>98</v>
      </c>
      <c r="B5" s="16">
        <v>36</v>
      </c>
      <c r="C5" s="16">
        <v>134</v>
      </c>
    </row>
    <row r="6" spans="1:3" x14ac:dyDescent="0.25">
      <c r="A6" s="16">
        <v>7</v>
      </c>
      <c r="B6" s="16"/>
      <c r="C6" s="16">
        <v>7</v>
      </c>
    </row>
    <row r="7" spans="1:3" x14ac:dyDescent="0.25">
      <c r="A7" s="16">
        <v>5</v>
      </c>
      <c r="B7" s="16">
        <v>96</v>
      </c>
      <c r="C7" s="16">
        <v>101</v>
      </c>
    </row>
    <row r="8" spans="1:3" x14ac:dyDescent="0.25">
      <c r="A8" s="16"/>
      <c r="B8" s="16">
        <v>45</v>
      </c>
      <c r="C8" s="16">
        <v>45</v>
      </c>
    </row>
    <row r="9" spans="1:3" x14ac:dyDescent="0.25">
      <c r="A9" s="16">
        <v>25</v>
      </c>
      <c r="B9" s="16">
        <v>15</v>
      </c>
      <c r="C9" s="16">
        <v>40</v>
      </c>
    </row>
    <row r="10" spans="1:3" x14ac:dyDescent="0.25">
      <c r="A10" s="16">
        <v>12</v>
      </c>
      <c r="B10" s="16"/>
      <c r="C10" s="16">
        <v>12</v>
      </c>
    </row>
    <row r="11" spans="1:3" x14ac:dyDescent="0.25">
      <c r="A11" s="16">
        <v>36</v>
      </c>
      <c r="B11" s="16">
        <v>33</v>
      </c>
      <c r="C11" s="16">
        <v>69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90C30-DD48-40D1-BED0-E2BF3EB7294B}">
  <sheetPr codeName="Sheet21"/>
  <dimension ref="A1:T62"/>
  <sheetViews>
    <sheetView topLeftCell="A19" workbookViewId="0">
      <selection activeCell="A25" sqref="A25"/>
    </sheetView>
  </sheetViews>
  <sheetFormatPr defaultRowHeight="15" x14ac:dyDescent="0.25"/>
  <sheetData>
    <row r="1" spans="1:20" ht="19.5" x14ac:dyDescent="0.3">
      <c r="A1" s="17" t="s">
        <v>102</v>
      </c>
      <c r="B1" s="17" t="s">
        <v>103</v>
      </c>
      <c r="D1" s="17" t="s">
        <v>102</v>
      </c>
      <c r="E1" s="17" t="s">
        <v>103</v>
      </c>
      <c r="H1" s="18" t="s">
        <v>104</v>
      </c>
      <c r="I1" s="18"/>
      <c r="J1" s="18"/>
      <c r="K1" s="18"/>
      <c r="L1" s="18"/>
      <c r="M1" s="18"/>
      <c r="N1" s="18"/>
      <c r="O1" s="18"/>
      <c r="P1" s="18"/>
      <c r="Q1" s="18"/>
      <c r="R1" s="19"/>
      <c r="S1" s="19"/>
      <c r="T1" s="19"/>
    </row>
    <row r="2" spans="1:20" x14ac:dyDescent="0.25">
      <c r="A2" t="s">
        <v>26</v>
      </c>
      <c r="B2">
        <v>10</v>
      </c>
      <c r="D2" t="s">
        <v>26</v>
      </c>
      <c r="E2">
        <f t="shared" ref="E2:E7" si="0">VLOOKUP($D2,$A$1:$B$7,2,0)</f>
        <v>10</v>
      </c>
    </row>
    <row r="3" spans="1:20" x14ac:dyDescent="0.25">
      <c r="A3" t="s">
        <v>28</v>
      </c>
      <c r="B3">
        <v>20</v>
      </c>
      <c r="D3" t="s">
        <v>28</v>
      </c>
      <c r="E3">
        <f t="shared" si="0"/>
        <v>20</v>
      </c>
      <c r="H3" t="s">
        <v>105</v>
      </c>
    </row>
    <row r="4" spans="1:20" x14ac:dyDescent="0.25">
      <c r="A4" t="s">
        <v>29</v>
      </c>
      <c r="B4">
        <v>36</v>
      </c>
      <c r="D4" t="s">
        <v>29</v>
      </c>
      <c r="E4">
        <f t="shared" si="0"/>
        <v>36</v>
      </c>
      <c r="H4" t="s">
        <v>106</v>
      </c>
    </row>
    <row r="5" spans="1:20" x14ac:dyDescent="0.25">
      <c r="A5" t="s">
        <v>30</v>
      </c>
      <c r="B5">
        <v>96</v>
      </c>
      <c r="D5" t="s">
        <v>30</v>
      </c>
      <c r="E5">
        <f t="shared" si="0"/>
        <v>96</v>
      </c>
    </row>
    <row r="6" spans="1:20" x14ac:dyDescent="0.25">
      <c r="A6" t="s">
        <v>31</v>
      </c>
      <c r="B6">
        <v>25</v>
      </c>
      <c r="D6" t="s">
        <v>31</v>
      </c>
      <c r="E6">
        <f t="shared" si="0"/>
        <v>25</v>
      </c>
      <c r="H6" t="s">
        <v>107</v>
      </c>
    </row>
    <row r="7" spans="1:20" x14ac:dyDescent="0.25">
      <c r="A7" t="s">
        <v>32</v>
      </c>
      <c r="B7">
        <v>75</v>
      </c>
      <c r="D7" t="s">
        <v>32</v>
      </c>
      <c r="E7">
        <f t="shared" si="0"/>
        <v>75</v>
      </c>
    </row>
    <row r="11" spans="1:20" x14ac:dyDescent="0.25">
      <c r="A11" s="3" t="s">
        <v>108</v>
      </c>
      <c r="B11" s="4"/>
      <c r="C11" s="4"/>
      <c r="E11" s="20" t="s">
        <v>109</v>
      </c>
    </row>
    <row r="12" spans="1:20" x14ac:dyDescent="0.25">
      <c r="A12" s="21" t="s">
        <v>110</v>
      </c>
    </row>
    <row r="13" spans="1:20" x14ac:dyDescent="0.25">
      <c r="A13" s="4" t="s">
        <v>102</v>
      </c>
      <c r="B13" s="17" t="s">
        <v>103</v>
      </c>
      <c r="C13" s="17" t="s">
        <v>111</v>
      </c>
      <c r="E13" s="4" t="s">
        <v>102</v>
      </c>
      <c r="F13" s="17" t="s">
        <v>111</v>
      </c>
      <c r="G13" s="17" t="s">
        <v>103</v>
      </c>
      <c r="I13" s="4" t="s">
        <v>112</v>
      </c>
      <c r="J13" s="4"/>
      <c r="K13" s="4"/>
      <c r="L13" s="4"/>
      <c r="M13" s="4"/>
      <c r="N13" s="4"/>
      <c r="O13" s="4"/>
      <c r="P13" s="4"/>
      <c r="Q13" s="4"/>
      <c r="R13" s="4"/>
      <c r="S13" s="4"/>
    </row>
    <row r="14" spans="1:20" x14ac:dyDescent="0.25">
      <c r="A14" t="s">
        <v>26</v>
      </c>
      <c r="B14">
        <v>10</v>
      </c>
      <c r="C14">
        <v>69</v>
      </c>
      <c r="E14" t="s">
        <v>26</v>
      </c>
      <c r="F14">
        <f t="shared" ref="F14:G19" si="1">VLOOKUP($E14,$A$13:$C$19,MATCH(F$13,$A$13:$C$13,0),0)</f>
        <v>69</v>
      </c>
      <c r="G14">
        <f t="shared" si="1"/>
        <v>10</v>
      </c>
      <c r="I14" s="4" t="s">
        <v>113</v>
      </c>
      <c r="J14" s="4"/>
      <c r="K14" s="4"/>
      <c r="L14" s="4"/>
      <c r="M14" s="4"/>
      <c r="N14" s="4"/>
      <c r="O14" s="4"/>
      <c r="P14" s="4"/>
      <c r="Q14" s="4"/>
      <c r="R14" s="4"/>
      <c r="S14" s="4"/>
    </row>
    <row r="15" spans="1:20" x14ac:dyDescent="0.25">
      <c r="A15" t="s">
        <v>28</v>
      </c>
      <c r="B15">
        <v>20</v>
      </c>
      <c r="C15">
        <v>36</v>
      </c>
      <c r="E15" t="s">
        <v>28</v>
      </c>
      <c r="F15">
        <f t="shared" si="1"/>
        <v>36</v>
      </c>
      <c r="G15">
        <f t="shared" si="1"/>
        <v>20</v>
      </c>
      <c r="I15" s="4" t="s">
        <v>114</v>
      </c>
      <c r="J15" s="4"/>
      <c r="K15" s="4"/>
      <c r="L15" s="4"/>
      <c r="M15" s="4"/>
      <c r="N15" s="4"/>
      <c r="O15" s="4"/>
      <c r="P15" s="4"/>
      <c r="Q15" s="4"/>
      <c r="R15" s="4"/>
      <c r="S15" s="4"/>
    </row>
    <row r="16" spans="1:20" x14ac:dyDescent="0.25">
      <c r="A16" t="s">
        <v>29</v>
      </c>
      <c r="B16">
        <v>36</v>
      </c>
      <c r="C16">
        <v>25</v>
      </c>
      <c r="E16" t="s">
        <v>29</v>
      </c>
      <c r="F16">
        <f t="shared" si="1"/>
        <v>25</v>
      </c>
      <c r="G16">
        <f t="shared" si="1"/>
        <v>36</v>
      </c>
      <c r="I16" s="3" t="s">
        <v>115</v>
      </c>
      <c r="J16" s="3"/>
      <c r="K16" s="3"/>
      <c r="L16" s="3"/>
      <c r="M16" s="3"/>
      <c r="N16" s="4"/>
      <c r="O16" s="4"/>
      <c r="P16" s="4"/>
      <c r="Q16" s="4"/>
      <c r="R16" s="4"/>
      <c r="S16" s="4"/>
    </row>
    <row r="17" spans="1:19" x14ac:dyDescent="0.25">
      <c r="A17" t="s">
        <v>30</v>
      </c>
      <c r="B17">
        <v>96</v>
      </c>
      <c r="C17">
        <v>84</v>
      </c>
      <c r="E17" t="s">
        <v>30</v>
      </c>
      <c r="F17">
        <f t="shared" si="1"/>
        <v>84</v>
      </c>
      <c r="G17">
        <f t="shared" si="1"/>
        <v>96</v>
      </c>
      <c r="I17" s="3" t="s">
        <v>116</v>
      </c>
      <c r="J17" s="3"/>
      <c r="K17" s="3"/>
      <c r="L17" s="3"/>
      <c r="M17" s="3"/>
      <c r="N17" s="4"/>
      <c r="O17" s="4"/>
      <c r="P17" s="4"/>
      <c r="Q17" s="4"/>
      <c r="R17" s="4"/>
      <c r="S17" s="4"/>
    </row>
    <row r="18" spans="1:19" x14ac:dyDescent="0.25">
      <c r="A18" t="s">
        <v>31</v>
      </c>
      <c r="B18">
        <v>25</v>
      </c>
      <c r="C18">
        <v>12</v>
      </c>
      <c r="E18" t="s">
        <v>31</v>
      </c>
      <c r="F18">
        <f t="shared" si="1"/>
        <v>12</v>
      </c>
      <c r="G18">
        <f t="shared" si="1"/>
        <v>25</v>
      </c>
      <c r="I18" s="3" t="s">
        <v>117</v>
      </c>
      <c r="J18" s="3"/>
      <c r="K18" s="3"/>
      <c r="L18" s="3"/>
      <c r="M18" s="3"/>
      <c r="N18" s="4"/>
      <c r="O18" s="4"/>
      <c r="P18" s="4"/>
      <c r="Q18" s="4"/>
      <c r="R18" s="4"/>
      <c r="S18" s="4"/>
    </row>
    <row r="19" spans="1:19" x14ac:dyDescent="0.25">
      <c r="A19" t="s">
        <v>32</v>
      </c>
      <c r="B19">
        <v>75</v>
      </c>
      <c r="C19">
        <v>85</v>
      </c>
      <c r="E19" t="s">
        <v>32</v>
      </c>
      <c r="F19">
        <f t="shared" si="1"/>
        <v>85</v>
      </c>
      <c r="G19">
        <f t="shared" si="1"/>
        <v>75</v>
      </c>
    </row>
    <row r="20" spans="1:19" ht="19.5" x14ac:dyDescent="0.3">
      <c r="I20" s="22" t="s">
        <v>118</v>
      </c>
    </row>
    <row r="21" spans="1:19" x14ac:dyDescent="0.25">
      <c r="I21" s="23" t="s">
        <v>119</v>
      </c>
      <c r="J21" s="23"/>
      <c r="K21" s="23"/>
      <c r="L21" s="23"/>
      <c r="M21" s="23"/>
      <c r="N21" s="23"/>
      <c r="O21" s="23"/>
      <c r="P21" s="23"/>
    </row>
    <row r="22" spans="1:19" x14ac:dyDescent="0.25">
      <c r="A22" s="3" t="s">
        <v>120</v>
      </c>
      <c r="B22" s="3"/>
      <c r="C22" s="3"/>
      <c r="I22" s="23" t="s">
        <v>121</v>
      </c>
      <c r="J22" s="23"/>
      <c r="K22" s="23"/>
      <c r="L22" s="23"/>
      <c r="M22" s="23"/>
      <c r="N22" s="23"/>
      <c r="O22" s="23"/>
      <c r="P22" s="23"/>
    </row>
    <row r="23" spans="1:19" x14ac:dyDescent="0.25">
      <c r="I23" s="23" t="s">
        <v>122</v>
      </c>
      <c r="J23" s="23"/>
      <c r="K23" s="23"/>
      <c r="L23" s="23"/>
      <c r="M23" s="23"/>
      <c r="N23" s="23"/>
      <c r="O23" s="23"/>
      <c r="P23" s="23"/>
    </row>
    <row r="24" spans="1:19" x14ac:dyDescent="0.25">
      <c r="A24" s="21" t="s">
        <v>123</v>
      </c>
      <c r="I24" s="23" t="s">
        <v>124</v>
      </c>
      <c r="J24" s="23"/>
      <c r="K24" s="23"/>
      <c r="L24" s="23"/>
      <c r="M24" s="23"/>
      <c r="N24" s="23"/>
      <c r="O24" s="23"/>
      <c r="P24" s="23"/>
    </row>
    <row r="25" spans="1:19" x14ac:dyDescent="0.25">
      <c r="A25" s="4" t="s">
        <v>102</v>
      </c>
      <c r="B25" s="17" t="s">
        <v>103</v>
      </c>
      <c r="C25" s="17" t="s">
        <v>111</v>
      </c>
      <c r="E25" s="4" t="s">
        <v>102</v>
      </c>
      <c r="F25" s="17" t="s">
        <v>111</v>
      </c>
      <c r="G25" s="17" t="s">
        <v>103</v>
      </c>
      <c r="I25" s="24" t="s">
        <v>125</v>
      </c>
      <c r="J25" s="24" t="s">
        <v>126</v>
      </c>
      <c r="K25" s="23"/>
      <c r="L25" s="23"/>
      <c r="M25" s="23"/>
      <c r="N25" s="23"/>
      <c r="O25" s="23"/>
      <c r="P25" s="23"/>
    </row>
    <row r="26" spans="1:19" x14ac:dyDescent="0.25">
      <c r="A26" t="s">
        <v>26</v>
      </c>
      <c r="B26">
        <v>10</v>
      </c>
      <c r="C26">
        <v>69</v>
      </c>
      <c r="E26" t="s">
        <v>26</v>
      </c>
      <c r="F26">
        <f t="shared" ref="F26:G31" si="2">INDEX($A$25:$C$31,MATCH($E26,$A$25:$A$31,0),MATCH(F$25,$A$25:$C$25,0))</f>
        <v>69</v>
      </c>
      <c r="G26">
        <f t="shared" si="2"/>
        <v>10</v>
      </c>
      <c r="I26" s="25"/>
      <c r="J26" s="24" t="s">
        <v>127</v>
      </c>
      <c r="K26" s="23"/>
      <c r="L26" s="23"/>
      <c r="M26" s="23"/>
      <c r="N26" s="23"/>
      <c r="O26" s="23"/>
      <c r="P26" s="23"/>
    </row>
    <row r="27" spans="1:19" x14ac:dyDescent="0.25">
      <c r="A27" t="s">
        <v>28</v>
      </c>
      <c r="B27">
        <v>20</v>
      </c>
      <c r="C27">
        <v>36</v>
      </c>
      <c r="E27" t="s">
        <v>28</v>
      </c>
      <c r="F27">
        <f t="shared" si="2"/>
        <v>36</v>
      </c>
      <c r="G27">
        <f t="shared" si="2"/>
        <v>20</v>
      </c>
    </row>
    <row r="28" spans="1:19" x14ac:dyDescent="0.25">
      <c r="A28" t="s">
        <v>29</v>
      </c>
      <c r="B28">
        <v>36</v>
      </c>
      <c r="C28">
        <v>25</v>
      </c>
      <c r="E28" t="s">
        <v>29</v>
      </c>
      <c r="F28">
        <f t="shared" si="2"/>
        <v>25</v>
      </c>
      <c r="G28">
        <f t="shared" si="2"/>
        <v>36</v>
      </c>
    </row>
    <row r="29" spans="1:19" x14ac:dyDescent="0.25">
      <c r="A29" t="s">
        <v>30</v>
      </c>
      <c r="B29">
        <v>96</v>
      </c>
      <c r="C29">
        <v>84</v>
      </c>
      <c r="E29" t="s">
        <v>30</v>
      </c>
      <c r="F29">
        <f t="shared" si="2"/>
        <v>84</v>
      </c>
      <c r="G29">
        <f t="shared" si="2"/>
        <v>96</v>
      </c>
      <c r="H29" s="20" t="s">
        <v>128</v>
      </c>
    </row>
    <row r="30" spans="1:19" x14ac:dyDescent="0.25">
      <c r="A30" t="s">
        <v>31</v>
      </c>
      <c r="B30">
        <v>25</v>
      </c>
      <c r="C30">
        <v>12</v>
      </c>
      <c r="E30" t="s">
        <v>31</v>
      </c>
      <c r="F30">
        <f t="shared" si="2"/>
        <v>12</v>
      </c>
      <c r="G30">
        <f t="shared" si="2"/>
        <v>25</v>
      </c>
    </row>
    <row r="31" spans="1:19" x14ac:dyDescent="0.25">
      <c r="A31" t="s">
        <v>32</v>
      </c>
      <c r="B31">
        <v>75</v>
      </c>
      <c r="C31">
        <v>85</v>
      </c>
      <c r="E31" t="s">
        <v>32</v>
      </c>
      <c r="F31">
        <f t="shared" si="2"/>
        <v>85</v>
      </c>
      <c r="G31">
        <f t="shared" si="2"/>
        <v>75</v>
      </c>
    </row>
    <row r="32" spans="1:19" x14ac:dyDescent="0.25">
      <c r="A32" s="20" t="s">
        <v>129</v>
      </c>
    </row>
    <row r="33" spans="1:11" x14ac:dyDescent="0.25">
      <c r="A33" s="21" t="s">
        <v>130</v>
      </c>
    </row>
    <row r="34" spans="1:11" x14ac:dyDescent="0.25">
      <c r="A34" s="4" t="s">
        <v>102</v>
      </c>
      <c r="B34" s="17" t="s">
        <v>103</v>
      </c>
      <c r="C34" s="17" t="s">
        <v>111</v>
      </c>
      <c r="E34" s="4" t="s">
        <v>102</v>
      </c>
      <c r="F34" s="17" t="s">
        <v>103</v>
      </c>
      <c r="G34" s="17" t="s">
        <v>111</v>
      </c>
    </row>
    <row r="35" spans="1:11" x14ac:dyDescent="0.25">
      <c r="A35" t="s">
        <v>26</v>
      </c>
      <c r="B35">
        <v>10</v>
      </c>
      <c r="C35">
        <v>69</v>
      </c>
      <c r="E35" t="s">
        <v>26</v>
      </c>
    </row>
    <row r="36" spans="1:11" x14ac:dyDescent="0.25">
      <c r="A36" t="s">
        <v>28</v>
      </c>
      <c r="B36">
        <v>20</v>
      </c>
      <c r="C36">
        <v>36</v>
      </c>
      <c r="E36" t="s">
        <v>28</v>
      </c>
      <c r="I36" s="3" t="s">
        <v>131</v>
      </c>
      <c r="J36" s="4"/>
      <c r="K36" s="4"/>
    </row>
    <row r="37" spans="1:11" x14ac:dyDescent="0.25">
      <c r="A37" t="s">
        <v>29</v>
      </c>
      <c r="B37">
        <v>36</v>
      </c>
      <c r="C37">
        <v>25</v>
      </c>
      <c r="E37" t="s">
        <v>29</v>
      </c>
    </row>
    <row r="38" spans="1:11" x14ac:dyDescent="0.25">
      <c r="A38" t="s">
        <v>30</v>
      </c>
      <c r="B38">
        <v>96</v>
      </c>
      <c r="C38">
        <v>84</v>
      </c>
      <c r="E38" t="s">
        <v>30</v>
      </c>
    </row>
    <row r="39" spans="1:11" x14ac:dyDescent="0.25">
      <c r="A39" t="s">
        <v>31</v>
      </c>
      <c r="B39">
        <v>25</v>
      </c>
      <c r="C39">
        <v>12</v>
      </c>
      <c r="E39" t="s">
        <v>31</v>
      </c>
    </row>
    <row r="40" spans="1:11" x14ac:dyDescent="0.25">
      <c r="A40" t="s">
        <v>32</v>
      </c>
      <c r="B40">
        <v>75</v>
      </c>
      <c r="C40">
        <v>85</v>
      </c>
      <c r="E40" t="s">
        <v>32</v>
      </c>
    </row>
    <row r="43" spans="1:11" x14ac:dyDescent="0.25">
      <c r="A43" s="3" t="s">
        <v>132</v>
      </c>
      <c r="B43" s="4"/>
    </row>
    <row r="44" spans="1:11" x14ac:dyDescent="0.25">
      <c r="A44" s="26" t="s">
        <v>133</v>
      </c>
    </row>
    <row r="45" spans="1:11" x14ac:dyDescent="0.25">
      <c r="A45" s="4" t="s">
        <v>23</v>
      </c>
      <c r="B45" s="12" t="s">
        <v>24</v>
      </c>
      <c r="C45" s="12" t="s">
        <v>25</v>
      </c>
    </row>
    <row r="46" spans="1:11" x14ac:dyDescent="0.25">
      <c r="A46" t="s">
        <v>26</v>
      </c>
      <c r="B46">
        <v>10</v>
      </c>
      <c r="C46" s="26" t="str">
        <f t="shared" ref="C46:C51" si="3">IF($B46&gt;=50,"PASS","FAIL")</f>
        <v>FAIL</v>
      </c>
    </row>
    <row r="47" spans="1:11" x14ac:dyDescent="0.25">
      <c r="A47" t="s">
        <v>28</v>
      </c>
      <c r="B47">
        <v>20</v>
      </c>
      <c r="C47" s="26" t="str">
        <f t="shared" si="3"/>
        <v>FAIL</v>
      </c>
    </row>
    <row r="48" spans="1:11" x14ac:dyDescent="0.25">
      <c r="A48" t="s">
        <v>29</v>
      </c>
      <c r="B48">
        <v>36</v>
      </c>
      <c r="C48" s="26" t="str">
        <f t="shared" si="3"/>
        <v>FAIL</v>
      </c>
    </row>
    <row r="49" spans="1:7" x14ac:dyDescent="0.25">
      <c r="A49" t="s">
        <v>30</v>
      </c>
      <c r="B49">
        <v>96</v>
      </c>
      <c r="C49" s="26" t="str">
        <f t="shared" si="3"/>
        <v>PASS</v>
      </c>
    </row>
    <row r="50" spans="1:7" x14ac:dyDescent="0.25">
      <c r="A50" t="s">
        <v>31</v>
      </c>
      <c r="B50">
        <v>25</v>
      </c>
      <c r="C50" s="26" t="str">
        <f t="shared" si="3"/>
        <v>FAIL</v>
      </c>
    </row>
    <row r="51" spans="1:7" x14ac:dyDescent="0.25">
      <c r="A51" t="s">
        <v>32</v>
      </c>
      <c r="B51">
        <v>75</v>
      </c>
      <c r="C51" t="str">
        <f t="shared" si="3"/>
        <v>PASS</v>
      </c>
    </row>
    <row r="54" spans="1:7" x14ac:dyDescent="0.25">
      <c r="A54" s="3" t="s">
        <v>134</v>
      </c>
    </row>
    <row r="56" spans="1:7" x14ac:dyDescent="0.25">
      <c r="A56" s="4" t="s">
        <v>23</v>
      </c>
      <c r="B56" s="12" t="s">
        <v>24</v>
      </c>
      <c r="C56" s="12" t="s">
        <v>135</v>
      </c>
      <c r="F56" s="12"/>
      <c r="G56" s="12"/>
    </row>
    <row r="57" spans="1:7" x14ac:dyDescent="0.25">
      <c r="A57" t="s">
        <v>26</v>
      </c>
      <c r="B57">
        <v>10</v>
      </c>
      <c r="C57" t="str">
        <f t="shared" ref="C57:C62" si="4">IF($B57&gt;=90,"A",IF($B57&gt;=70,"B",IF($B57&gt;=60,"C",IF($B57&gt;=50,"D","FAIL"))))</f>
        <v>FAIL</v>
      </c>
      <c r="F57" t="s">
        <v>136</v>
      </c>
      <c r="G57" t="s">
        <v>26</v>
      </c>
    </row>
    <row r="58" spans="1:7" x14ac:dyDescent="0.25">
      <c r="A58" t="s">
        <v>28</v>
      </c>
      <c r="B58">
        <v>51</v>
      </c>
      <c r="C58" t="str">
        <f t="shared" si="4"/>
        <v>D</v>
      </c>
      <c r="F58" t="s">
        <v>137</v>
      </c>
      <c r="G58" t="s">
        <v>28</v>
      </c>
    </row>
    <row r="59" spans="1:7" x14ac:dyDescent="0.25">
      <c r="A59" t="s">
        <v>29</v>
      </c>
      <c r="B59">
        <v>85</v>
      </c>
      <c r="C59" t="str">
        <f t="shared" si="4"/>
        <v>B</v>
      </c>
      <c r="F59" t="s">
        <v>138</v>
      </c>
      <c r="G59" t="s">
        <v>29</v>
      </c>
    </row>
    <row r="60" spans="1:7" x14ac:dyDescent="0.25">
      <c r="A60" t="s">
        <v>30</v>
      </c>
      <c r="B60">
        <v>96</v>
      </c>
      <c r="C60" t="str">
        <f t="shared" si="4"/>
        <v>A</v>
      </c>
      <c r="F60" t="s">
        <v>139</v>
      </c>
      <c r="G60" t="s">
        <v>30</v>
      </c>
    </row>
    <row r="61" spans="1:7" x14ac:dyDescent="0.25">
      <c r="A61" t="s">
        <v>31</v>
      </c>
      <c r="B61">
        <v>25</v>
      </c>
      <c r="C61" t="str">
        <f t="shared" si="4"/>
        <v>FAIL</v>
      </c>
      <c r="F61" t="s">
        <v>140</v>
      </c>
      <c r="G61" t="s">
        <v>27</v>
      </c>
    </row>
    <row r="62" spans="1:7" x14ac:dyDescent="0.25">
      <c r="A62" t="s">
        <v>32</v>
      </c>
      <c r="B62">
        <v>75</v>
      </c>
      <c r="C62" t="str">
        <f t="shared" si="4"/>
        <v>B</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48B82-E1B1-4ED7-A898-F12F904E453E}">
  <sheetPr codeName="Sheet22"/>
  <dimension ref="A1:L46"/>
  <sheetViews>
    <sheetView workbookViewId="0"/>
  </sheetViews>
  <sheetFormatPr defaultRowHeight="15" x14ac:dyDescent="0.25"/>
  <sheetData>
    <row r="1" spans="1:12" x14ac:dyDescent="0.25">
      <c r="A1" s="28" t="s">
        <v>102</v>
      </c>
      <c r="B1" s="28" t="s">
        <v>103</v>
      </c>
      <c r="D1" s="28" t="s">
        <v>102</v>
      </c>
      <c r="E1" s="27" t="s">
        <v>103</v>
      </c>
      <c r="H1" t="s">
        <v>141</v>
      </c>
    </row>
    <row r="2" spans="1:12" x14ac:dyDescent="0.25">
      <c r="A2" s="1" t="s">
        <v>26</v>
      </c>
      <c r="B2" s="1">
        <v>10</v>
      </c>
      <c r="D2" s="1" t="s">
        <v>26</v>
      </c>
      <c r="E2">
        <f t="shared" ref="E2:E7" si="0">VLOOKUP($D2,$A$1:$B$7,2,0)</f>
        <v>10</v>
      </c>
      <c r="H2" t="s">
        <v>142</v>
      </c>
      <c r="J2" t="s">
        <v>143</v>
      </c>
      <c r="L2" s="20" t="s">
        <v>145</v>
      </c>
    </row>
    <row r="3" spans="1:12" x14ac:dyDescent="0.25">
      <c r="A3" s="1" t="s">
        <v>28</v>
      </c>
      <c r="B3" s="1">
        <v>20</v>
      </c>
      <c r="D3" s="1" t="s">
        <v>28</v>
      </c>
      <c r="E3">
        <f t="shared" si="0"/>
        <v>20</v>
      </c>
      <c r="H3" t="s">
        <v>144</v>
      </c>
      <c r="J3" t="s">
        <v>146</v>
      </c>
    </row>
    <row r="4" spans="1:12" x14ac:dyDescent="0.25">
      <c r="A4" s="1" t="s">
        <v>29</v>
      </c>
      <c r="B4" s="1">
        <v>36</v>
      </c>
      <c r="D4" s="1" t="s">
        <v>29</v>
      </c>
      <c r="E4">
        <f t="shared" si="0"/>
        <v>36</v>
      </c>
    </row>
    <row r="5" spans="1:12" x14ac:dyDescent="0.25">
      <c r="A5" s="1" t="s">
        <v>30</v>
      </c>
      <c r="B5" s="1">
        <v>96</v>
      </c>
      <c r="D5" s="1" t="s">
        <v>30</v>
      </c>
      <c r="E5">
        <f t="shared" si="0"/>
        <v>96</v>
      </c>
      <c r="H5" t="s">
        <v>147</v>
      </c>
    </row>
    <row r="6" spans="1:12" x14ac:dyDescent="0.25">
      <c r="A6" s="1" t="s">
        <v>31</v>
      </c>
      <c r="B6" s="1">
        <v>25</v>
      </c>
      <c r="D6" s="1" t="s">
        <v>31</v>
      </c>
      <c r="E6">
        <f t="shared" si="0"/>
        <v>25</v>
      </c>
    </row>
    <row r="7" spans="1:12" x14ac:dyDescent="0.25">
      <c r="A7" s="1" t="s">
        <v>32</v>
      </c>
      <c r="B7" s="1">
        <v>75</v>
      </c>
      <c r="D7" s="1" t="s">
        <v>32</v>
      </c>
      <c r="E7">
        <f t="shared" si="0"/>
        <v>75</v>
      </c>
    </row>
    <row r="9" spans="1:12" x14ac:dyDescent="0.25">
      <c r="A9" s="30" t="s">
        <v>108</v>
      </c>
      <c r="B9" s="12"/>
      <c r="C9" s="12"/>
    </row>
    <row r="10" spans="1:12" x14ac:dyDescent="0.25">
      <c r="A10" s="29" t="s">
        <v>102</v>
      </c>
      <c r="B10" s="28" t="s">
        <v>103</v>
      </c>
      <c r="C10" s="28" t="s">
        <v>111</v>
      </c>
      <c r="E10" s="29" t="s">
        <v>102</v>
      </c>
      <c r="F10" s="27" t="s">
        <v>111</v>
      </c>
      <c r="G10" s="27" t="s">
        <v>103</v>
      </c>
    </row>
    <row r="11" spans="1:12" x14ac:dyDescent="0.25">
      <c r="A11" s="1" t="s">
        <v>26</v>
      </c>
      <c r="B11" s="1">
        <v>10</v>
      </c>
      <c r="C11" s="1">
        <v>69</v>
      </c>
      <c r="E11" s="1" t="s">
        <v>26</v>
      </c>
      <c r="F11">
        <f t="shared" ref="F11:G16" si="1">VLOOKUP($E11,$A$10:$C$16,MATCH(F$10,$A$10:$C$10,0),0)</f>
        <v>69</v>
      </c>
      <c r="G11">
        <f t="shared" si="1"/>
        <v>10</v>
      </c>
    </row>
    <row r="12" spans="1:12" x14ac:dyDescent="0.25">
      <c r="A12" s="1" t="s">
        <v>28</v>
      </c>
      <c r="B12" s="1">
        <v>20</v>
      </c>
      <c r="C12" s="1">
        <v>36</v>
      </c>
      <c r="E12" s="1" t="s">
        <v>28</v>
      </c>
      <c r="F12">
        <f t="shared" si="1"/>
        <v>36</v>
      </c>
      <c r="G12">
        <f t="shared" si="1"/>
        <v>20</v>
      </c>
    </row>
    <row r="13" spans="1:12" x14ac:dyDescent="0.25">
      <c r="A13" s="1" t="s">
        <v>29</v>
      </c>
      <c r="B13" s="1">
        <v>36</v>
      </c>
      <c r="C13" s="1">
        <v>25</v>
      </c>
      <c r="E13" s="1" t="s">
        <v>29</v>
      </c>
      <c r="F13">
        <f t="shared" si="1"/>
        <v>25</v>
      </c>
      <c r="G13">
        <f t="shared" si="1"/>
        <v>36</v>
      </c>
    </row>
    <row r="14" spans="1:12" x14ac:dyDescent="0.25">
      <c r="A14" s="1" t="s">
        <v>30</v>
      </c>
      <c r="B14" s="1">
        <v>96</v>
      </c>
      <c r="C14" s="1">
        <v>84</v>
      </c>
      <c r="E14" s="1" t="s">
        <v>30</v>
      </c>
      <c r="F14">
        <f t="shared" si="1"/>
        <v>84</v>
      </c>
      <c r="G14">
        <f t="shared" si="1"/>
        <v>96</v>
      </c>
    </row>
    <row r="15" spans="1:12" x14ac:dyDescent="0.25">
      <c r="A15" s="1" t="s">
        <v>31</v>
      </c>
      <c r="B15" s="1">
        <v>25</v>
      </c>
      <c r="C15" s="1">
        <v>12</v>
      </c>
      <c r="E15" s="1" t="s">
        <v>31</v>
      </c>
      <c r="F15">
        <f t="shared" si="1"/>
        <v>12</v>
      </c>
      <c r="G15">
        <f t="shared" si="1"/>
        <v>25</v>
      </c>
    </row>
    <row r="16" spans="1:12" x14ac:dyDescent="0.25">
      <c r="A16" s="1" t="s">
        <v>32</v>
      </c>
      <c r="B16" s="1">
        <v>75</v>
      </c>
      <c r="C16" s="1">
        <v>85</v>
      </c>
      <c r="E16" s="1" t="s">
        <v>32</v>
      </c>
      <c r="F16">
        <f t="shared" si="1"/>
        <v>85</v>
      </c>
      <c r="G16">
        <f t="shared" si="1"/>
        <v>75</v>
      </c>
    </row>
    <row r="18" spans="1:7" x14ac:dyDescent="0.25">
      <c r="A18" s="31" t="s">
        <v>120</v>
      </c>
      <c r="B18" s="11"/>
      <c r="C18" s="11"/>
    </row>
    <row r="19" spans="1:7" x14ac:dyDescent="0.25">
      <c r="A19" s="29" t="s">
        <v>102</v>
      </c>
      <c r="B19" s="28" t="s">
        <v>103</v>
      </c>
      <c r="C19" s="28" t="s">
        <v>111</v>
      </c>
      <c r="E19" s="29" t="s">
        <v>102</v>
      </c>
      <c r="F19" s="28" t="s">
        <v>111</v>
      </c>
      <c r="G19" s="28" t="s">
        <v>103</v>
      </c>
    </row>
    <row r="20" spans="1:7" x14ac:dyDescent="0.25">
      <c r="A20" s="1" t="s">
        <v>26</v>
      </c>
      <c r="B20" s="1">
        <v>10</v>
      </c>
      <c r="C20" s="1">
        <v>69</v>
      </c>
      <c r="E20" s="1" t="s">
        <v>26</v>
      </c>
    </row>
    <row r="21" spans="1:7" x14ac:dyDescent="0.25">
      <c r="A21" s="1" t="s">
        <v>28</v>
      </c>
      <c r="B21" s="1">
        <v>20</v>
      </c>
      <c r="C21" s="1">
        <v>36</v>
      </c>
      <c r="E21" s="1" t="s">
        <v>28</v>
      </c>
    </row>
    <row r="22" spans="1:7" x14ac:dyDescent="0.25">
      <c r="A22" s="1" t="s">
        <v>29</v>
      </c>
      <c r="B22" s="1">
        <v>36</v>
      </c>
      <c r="C22" s="1">
        <v>25</v>
      </c>
      <c r="E22" s="1" t="s">
        <v>29</v>
      </c>
    </row>
    <row r="23" spans="1:7" x14ac:dyDescent="0.25">
      <c r="A23" s="1" t="s">
        <v>30</v>
      </c>
      <c r="B23" s="1">
        <v>96</v>
      </c>
      <c r="C23" s="1">
        <v>84</v>
      </c>
      <c r="E23" s="1" t="s">
        <v>30</v>
      </c>
    </row>
    <row r="24" spans="1:7" x14ac:dyDescent="0.25">
      <c r="A24" s="1" t="s">
        <v>31</v>
      </c>
      <c r="B24" s="1">
        <v>25</v>
      </c>
      <c r="C24" s="1">
        <v>12</v>
      </c>
      <c r="E24" s="1" t="s">
        <v>31</v>
      </c>
    </row>
    <row r="25" spans="1:7" x14ac:dyDescent="0.25">
      <c r="A25" s="1" t="s">
        <v>32</v>
      </c>
      <c r="B25" s="1">
        <v>75</v>
      </c>
      <c r="C25" s="1">
        <v>85</v>
      </c>
      <c r="E25" s="1" t="s">
        <v>32</v>
      </c>
    </row>
    <row r="28" spans="1:7" x14ac:dyDescent="0.25">
      <c r="A28" s="3" t="s">
        <v>132</v>
      </c>
      <c r="B28" s="4"/>
    </row>
    <row r="29" spans="1:7" x14ac:dyDescent="0.25">
      <c r="A29" s="29" t="s">
        <v>23</v>
      </c>
      <c r="B29" s="32" t="s">
        <v>24</v>
      </c>
      <c r="C29" s="32" t="s">
        <v>25</v>
      </c>
    </row>
    <row r="30" spans="1:7" x14ac:dyDescent="0.25">
      <c r="A30" s="1" t="s">
        <v>26</v>
      </c>
      <c r="B30" s="1">
        <v>10</v>
      </c>
      <c r="C30" t="str">
        <f t="shared" ref="C30:C35" si="2">IF($B30&gt;50,"PASS","FAIL")</f>
        <v>FAIL</v>
      </c>
    </row>
    <row r="31" spans="1:7" x14ac:dyDescent="0.25">
      <c r="A31" s="1" t="s">
        <v>28</v>
      </c>
      <c r="B31" s="1">
        <v>20</v>
      </c>
      <c r="C31" t="str">
        <f t="shared" si="2"/>
        <v>FAIL</v>
      </c>
    </row>
    <row r="32" spans="1:7" x14ac:dyDescent="0.25">
      <c r="A32" s="1" t="s">
        <v>29</v>
      </c>
      <c r="B32" s="1">
        <v>36</v>
      </c>
      <c r="C32" t="str">
        <f t="shared" si="2"/>
        <v>FAIL</v>
      </c>
    </row>
    <row r="33" spans="1:3" x14ac:dyDescent="0.25">
      <c r="A33" s="1" t="s">
        <v>30</v>
      </c>
      <c r="B33" s="1">
        <v>96</v>
      </c>
      <c r="C33" t="str">
        <f t="shared" si="2"/>
        <v>PASS</v>
      </c>
    </row>
    <row r="34" spans="1:3" x14ac:dyDescent="0.25">
      <c r="A34" s="1" t="s">
        <v>31</v>
      </c>
      <c r="B34" s="1">
        <v>25</v>
      </c>
      <c r="C34" t="str">
        <f t="shared" si="2"/>
        <v>FAIL</v>
      </c>
    </row>
    <row r="35" spans="1:3" x14ac:dyDescent="0.25">
      <c r="A35" s="1" t="s">
        <v>32</v>
      </c>
      <c r="B35" s="1">
        <v>75</v>
      </c>
      <c r="C35" t="str">
        <f t="shared" si="2"/>
        <v>PASS</v>
      </c>
    </row>
    <row r="38" spans="1:3" x14ac:dyDescent="0.25">
      <c r="A38" s="3" t="s">
        <v>134</v>
      </c>
    </row>
    <row r="40" spans="1:3" x14ac:dyDescent="0.25">
      <c r="A40" s="4" t="s">
        <v>23</v>
      </c>
      <c r="B40" s="12" t="s">
        <v>24</v>
      </c>
      <c r="C40" s="12" t="s">
        <v>135</v>
      </c>
    </row>
    <row r="41" spans="1:3" x14ac:dyDescent="0.25">
      <c r="A41" t="s">
        <v>26</v>
      </c>
      <c r="B41">
        <v>10</v>
      </c>
    </row>
    <row r="42" spans="1:3" x14ac:dyDescent="0.25">
      <c r="A42" t="s">
        <v>28</v>
      </c>
      <c r="B42">
        <v>51</v>
      </c>
    </row>
    <row r="43" spans="1:3" x14ac:dyDescent="0.25">
      <c r="A43" t="s">
        <v>29</v>
      </c>
      <c r="B43">
        <v>85</v>
      </c>
    </row>
    <row r="44" spans="1:3" x14ac:dyDescent="0.25">
      <c r="A44" t="s">
        <v>30</v>
      </c>
      <c r="B44">
        <v>96</v>
      </c>
    </row>
    <row r="45" spans="1:3" x14ac:dyDescent="0.25">
      <c r="A45" t="s">
        <v>31</v>
      </c>
      <c r="B45">
        <v>25</v>
      </c>
    </row>
    <row r="46" spans="1:3" x14ac:dyDescent="0.25">
      <c r="A46" t="s">
        <v>32</v>
      </c>
      <c r="B46">
        <v>75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1B88B-F285-43CD-B786-74D8C45FFA83}">
  <sheetPr codeName="Sheet28"/>
  <dimension ref="A1"/>
  <sheetViews>
    <sheetView tabSelected="1" topLeftCell="C1" zoomScale="90" zoomScaleNormal="90" workbookViewId="0">
      <selection activeCell="S12" sqref="S12"/>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Record_Macro</vt:lpstr>
      <vt:lpstr>INTRODUCTION</vt:lpstr>
      <vt:lpstr>DATE_VBA</vt:lpstr>
      <vt:lpstr>HIDE_VBA</vt:lpstr>
      <vt:lpstr>ADD_DELETE_SHEETS</vt:lpstr>
      <vt:lpstr>DELETE_INSERT_ROWS_COLUMNS</vt:lpstr>
      <vt:lpstr>Activecell_Offset</vt:lpstr>
      <vt:lpstr>COPY1</vt:lpstr>
      <vt:lpstr>PASTE1</vt:lpstr>
      <vt:lpstr>COPY2</vt:lpstr>
      <vt:lpstr>PASTE2</vt:lpstr>
      <vt:lpstr>JAN</vt:lpstr>
      <vt:lpstr>FEB</vt:lpstr>
      <vt:lpstr>MAR</vt:lpstr>
      <vt:lpstr>CONSOL</vt:lpstr>
      <vt:lpstr>LOOP</vt:lpstr>
      <vt:lpstr>IFLOOP</vt:lpstr>
      <vt:lpstr>DOWHILE</vt:lpstr>
      <vt:lpstr>FOR_NEXT_LOOP</vt:lpstr>
      <vt:lpstr>FOR_NEXT_IF</vt:lpstr>
      <vt:lpstr>FOR_NEXT_NESTED_IF</vt:lpstr>
      <vt:lpstr>FOR_EACH_NEXT</vt:lpstr>
      <vt:lpstr>LIST</vt:lpstr>
      <vt:lpstr>LIST_REPLACE</vt:lpstr>
      <vt:lpstr>FORMULA</vt:lpstr>
      <vt:lpstr>VLOOKUP_REFRENCE_NOTES</vt:lpstr>
      <vt:lpstr>VLOOKUP_PRACTICE</vt:lpstr>
      <vt:lpstr>FORMS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2020-04-01T04:25:25Z</dcterms:created>
  <dcterms:modified xsi:type="dcterms:W3CDTF">2020-04-07T11:22:55Z</dcterms:modified>
</cp:coreProperties>
</file>