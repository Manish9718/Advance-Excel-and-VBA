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filterPrivacy="1" codeName="ThisWorkbook" defaultThemeVersion="124226"/>
  <xr:revisionPtr revIDLastSave="0" documentId="13_ncr:1_{BCEC3071-D290-460C-B27A-A32D8E100138}" xr6:coauthVersionLast="45" xr6:coauthVersionMax="45" xr10:uidLastSave="{00000000-0000-0000-0000-000000000000}"/>
  <bookViews>
    <workbookView xWindow="-120" yWindow="-120" windowWidth="20730" windowHeight="11160" tabRatio="995" activeTab="7" xr2:uid="{00000000-000D-0000-FFFF-FFFF00000000}"/>
  </bookViews>
  <sheets>
    <sheet name="Sheet1" sheetId="1" r:id="rId1"/>
    <sheet name="INFO" sheetId="2" r:id="rId2"/>
    <sheet name="Sheet3" sheetId="3" r:id="rId3"/>
    <sheet name="Sheet2" sheetId="4" r:id="rId4"/>
    <sheet name="JAN" sheetId="5" r:id="rId5"/>
    <sheet name="FEB" sheetId="7" r:id="rId6"/>
    <sheet name="MAR" sheetId="8" r:id="rId7"/>
    <sheet name="CONSOL" sheetId="6" r:id="rId8"/>
    <sheet name="Sheet4" sheetId="9" r:id="rId9"/>
    <sheet name="Sheet5" sheetId="10" r:id="rId10"/>
    <sheet name="Sheet6" sheetId="11" r:id="rId11"/>
    <sheet name="Sheet7" sheetId="12" r:id="rId12"/>
    <sheet name="Sheet8" sheetId="13" r:id="rId13"/>
    <sheet name="Sheet9" sheetId="14" r:id="rId14"/>
    <sheet name="Sheet10" sheetId="15" r:id="rId15"/>
    <sheet name="LIST" sheetId="16" r:id="rId16"/>
    <sheet name="Sheet11" sheetId="17" r:id="rId17"/>
    <sheet name="Sheet12" sheetId="18" r:id="rId18"/>
    <sheet name="MARCH" sheetId="20" r:id="rId19"/>
    <sheet name="Chart Data" sheetId="22" r:id="rId20"/>
    <sheet name="DASHBOARD" sheetId="21" r:id="rId21"/>
    <sheet name="USRFORM" sheetId="23" r:id="rId22"/>
    <sheet name="NAMERNG" sheetId="24" r:id="rId23"/>
  </sheets>
  <functionGroups builtInGroupCount="19"/>
  <externalReferences>
    <externalReference r:id="rId24"/>
  </externalReferences>
  <definedNames>
    <definedName name="AGG">NAMERNG!$A$2:$A$44</definedName>
    <definedName name="CITI">NAMERNG!$C$2:$C$5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8" i="22" l="1"/>
  <c r="G37" i="22" s="1"/>
  <c r="G36" i="22" s="1"/>
  <c r="G34" i="22"/>
  <c r="I28" i="22"/>
  <c r="I27" i="22"/>
  <c r="I26" i="22"/>
  <c r="I25" i="22"/>
  <c r="I24" i="22"/>
  <c r="I23" i="22"/>
  <c r="I22" i="22"/>
  <c r="I17" i="22"/>
  <c r="G17" i="22"/>
  <c r="G16" i="22"/>
  <c r="G15" i="22"/>
  <c r="G14" i="22"/>
  <c r="G13" i="22"/>
  <c r="G12" i="22"/>
  <c r="G11" i="22"/>
  <c r="G10" i="22"/>
  <c r="G9" i="22"/>
  <c r="I8" i="22"/>
  <c r="G8" i="22"/>
  <c r="B16" i="21" l="1"/>
  <c r="A16" i="21"/>
  <c r="C86" i="21" l="1"/>
  <c r="C85" i="21"/>
  <c r="E2" i="21"/>
  <c r="E16" i="21" s="1"/>
  <c r="C3" i="21"/>
  <c r="D3" i="21" s="1"/>
  <c r="H3" i="21" s="1"/>
  <c r="E3" i="21"/>
  <c r="F3" i="21"/>
  <c r="G3" i="21"/>
  <c r="C4" i="21"/>
  <c r="D4" i="21" s="1"/>
  <c r="E4" i="21"/>
  <c r="F4" i="21"/>
  <c r="G4" i="21"/>
  <c r="C5" i="21"/>
  <c r="D5" i="21"/>
  <c r="H5" i="21" s="1"/>
  <c r="E5" i="21"/>
  <c r="F5" i="21"/>
  <c r="G5" i="21"/>
  <c r="C6" i="21"/>
  <c r="D6" i="21" s="1"/>
  <c r="E6" i="21"/>
  <c r="F6" i="21"/>
  <c r="G6" i="21"/>
  <c r="C7" i="21"/>
  <c r="D7" i="21"/>
  <c r="E7" i="21"/>
  <c r="H7" i="21" s="1"/>
  <c r="F7" i="21"/>
  <c r="G7" i="21"/>
  <c r="C8" i="21"/>
  <c r="D8" i="21" s="1"/>
  <c r="E8" i="21"/>
  <c r="F8" i="21"/>
  <c r="G8" i="21"/>
  <c r="C9" i="21"/>
  <c r="D9" i="21" s="1"/>
  <c r="H9" i="21" s="1"/>
  <c r="E9" i="21"/>
  <c r="F9" i="21"/>
  <c r="G9" i="21"/>
  <c r="C10" i="21"/>
  <c r="D10" i="21"/>
  <c r="E10" i="21"/>
  <c r="F10" i="21"/>
  <c r="G10" i="21"/>
  <c r="G2" i="21"/>
  <c r="G16" i="21" s="1"/>
  <c r="F2" i="21"/>
  <c r="F16" i="21" s="1"/>
  <c r="C2" i="21"/>
  <c r="C16" i="21" s="1"/>
  <c r="H6" i="21" l="1"/>
  <c r="H4" i="21"/>
  <c r="D2" i="21"/>
  <c r="H8" i="21"/>
  <c r="H10" i="21"/>
  <c r="E29" i="18"/>
  <c r="F29" i="18" s="1"/>
  <c r="F28" i="18"/>
  <c r="E31" i="18"/>
  <c r="E30" i="18"/>
  <c r="F30" i="18" s="1"/>
  <c r="B36" i="18"/>
  <c r="F31" i="18" l="1"/>
  <c r="D16" i="21"/>
  <c r="H2" i="21"/>
  <c r="H16" i="21" s="1"/>
  <c r="F20" i="18"/>
  <c r="F17" i="18"/>
  <c r="E18" i="18"/>
  <c r="C21" i="18"/>
  <c r="F21" i="18" s="1"/>
  <c r="C20" i="18"/>
  <c r="C19" i="18"/>
  <c r="C18" i="18"/>
  <c r="F18" i="18" s="1"/>
  <c r="G18" i="18" s="1"/>
  <c r="C17" i="18"/>
  <c r="E17" i="18" s="1"/>
  <c r="E6" i="18"/>
  <c r="E5" i="18"/>
  <c r="D7" i="18"/>
  <c r="D6" i="18"/>
  <c r="D5" i="18"/>
  <c r="D4" i="18"/>
  <c r="C7" i="18"/>
  <c r="C6" i="18"/>
  <c r="C5" i="18"/>
  <c r="C4" i="18"/>
  <c r="B7" i="18"/>
  <c r="E7" i="18" s="1"/>
  <c r="B6" i="18"/>
  <c r="B5" i="18"/>
  <c r="B4" i="18"/>
  <c r="E4" i="18" s="1"/>
  <c r="C65" i="17"/>
  <c r="C70" i="17"/>
  <c r="C69" i="17"/>
  <c r="C68" i="17"/>
  <c r="C67" i="17"/>
  <c r="C66" i="17"/>
  <c r="C60" i="17"/>
  <c r="C59" i="17"/>
  <c r="C58" i="17"/>
  <c r="C57" i="17"/>
  <c r="C56" i="17"/>
  <c r="C55" i="17"/>
  <c r="G50" i="17"/>
  <c r="F50" i="17"/>
  <c r="G49" i="17"/>
  <c r="F49" i="17"/>
  <c r="G48" i="17"/>
  <c r="F48" i="17"/>
  <c r="G47" i="17"/>
  <c r="F47" i="17"/>
  <c r="G46" i="17"/>
  <c r="F46" i="17"/>
  <c r="G45" i="17"/>
  <c r="F45" i="17"/>
  <c r="B13" i="18"/>
  <c r="I21" i="18"/>
  <c r="B10" i="18"/>
  <c r="F4" i="18"/>
  <c r="F7" i="18"/>
  <c r="I18" i="18"/>
  <c r="B11" i="18"/>
  <c r="I17" i="18"/>
  <c r="I19" i="18"/>
  <c r="F6" i="18"/>
  <c r="J17" i="18"/>
  <c r="I20" i="18"/>
  <c r="F5" i="18"/>
  <c r="B12" i="18"/>
  <c r="G17" i="18" l="1"/>
  <c r="H17" i="18"/>
  <c r="H18" i="18"/>
  <c r="E19" i="18"/>
  <c r="G19" i="18" s="1"/>
  <c r="E20" i="18"/>
  <c r="F19" i="18"/>
  <c r="E21" i="18"/>
  <c r="G39" i="17"/>
  <c r="G41" i="17"/>
  <c r="F41" i="17"/>
  <c r="G40" i="17"/>
  <c r="F40" i="17"/>
  <c r="F39" i="17"/>
  <c r="G38" i="17"/>
  <c r="F38" i="17"/>
  <c r="G37" i="17"/>
  <c r="F37" i="17"/>
  <c r="G36" i="17"/>
  <c r="F36" i="17"/>
  <c r="G31" i="17"/>
  <c r="F31" i="17"/>
  <c r="G30" i="17"/>
  <c r="F30" i="17"/>
  <c r="G29" i="17"/>
  <c r="F29" i="17"/>
  <c r="G28" i="17"/>
  <c r="F28" i="17"/>
  <c r="G27" i="17"/>
  <c r="F27" i="17"/>
  <c r="G26" i="17"/>
  <c r="F26" i="17"/>
  <c r="E20" i="17"/>
  <c r="E19" i="17"/>
  <c r="E18" i="17"/>
  <c r="E17" i="17"/>
  <c r="E16" i="17"/>
  <c r="E15" i="17"/>
  <c r="C11" i="17"/>
  <c r="C10" i="17"/>
  <c r="C9" i="17"/>
  <c r="C8" i="17"/>
  <c r="C7" i="17"/>
  <c r="C6" i="17"/>
  <c r="C5" i="17"/>
  <c r="C4" i="17"/>
  <c r="C3" i="17"/>
  <c r="C2" i="17"/>
  <c r="H20" i="18" l="1"/>
  <c r="G21" i="18"/>
  <c r="H21" i="18"/>
  <c r="G20" i="18"/>
  <c r="H19" i="18"/>
  <c r="AR69" i="1"/>
  <c r="AR68" i="1"/>
  <c r="AR67" i="1"/>
  <c r="AR65" i="1"/>
  <c r="AR64" i="1"/>
  <c r="AQ70" i="1"/>
  <c r="AR70" i="1" s="1"/>
  <c r="AQ66" i="1"/>
  <c r="AR66" i="1" s="1"/>
  <c r="M10" i="1"/>
  <c r="M9" i="1"/>
  <c r="M8" i="1"/>
  <c r="M6" i="1"/>
  <c r="M5" i="1"/>
  <c r="L7" i="1"/>
  <c r="L11" i="1" s="1"/>
  <c r="M11" i="1" s="1"/>
  <c r="M7" i="1" l="1"/>
</calcChain>
</file>

<file path=xl/sharedStrings.xml><?xml version="1.0" encoding="utf-8"?>
<sst xmlns="http://schemas.openxmlformats.org/spreadsheetml/2006/main" count="455" uniqueCount="230">
  <si>
    <t>SALES</t>
  </si>
  <si>
    <t>COGS</t>
  </si>
  <si>
    <t>GROSS PROFIT</t>
  </si>
  <si>
    <t>OFFICE EXP.</t>
  </si>
  <si>
    <t>ADMIN EXP.</t>
  </si>
  <si>
    <t>OTHERS</t>
  </si>
  <si>
    <t>NET PROFIT</t>
  </si>
  <si>
    <t>OBJECT.METHOD</t>
  </si>
  <si>
    <t>OBJECT</t>
  </si>
  <si>
    <t>METHOD</t>
  </si>
  <si>
    <t>FOR WHICH ACTIVITY WILL BE PERFORMED</t>
  </si>
  <si>
    <t>THE ACTIVITY</t>
  </si>
  <si>
    <t>EXCEL</t>
  </si>
  <si>
    <t>VBA MACROS-SINGLE</t>
  </si>
  <si>
    <t>VBA MACROS-MULTIPLE</t>
  </si>
  <si>
    <t>CELLS</t>
  </si>
  <si>
    <t>CELL</t>
  </si>
  <si>
    <t>ROW</t>
  </si>
  <si>
    <t>COLUMNS</t>
  </si>
  <si>
    <t>COLUMN</t>
  </si>
  <si>
    <t>WORKSHEET</t>
  </si>
  <si>
    <t>WORKBOOK</t>
  </si>
  <si>
    <t>ROWS</t>
  </si>
  <si>
    <t>WORKSHEETS</t>
  </si>
  <si>
    <t>WORKBOOKS</t>
  </si>
  <si>
    <t>RANGE</t>
  </si>
  <si>
    <t>UNIVERSAL SET</t>
  </si>
  <si>
    <t>ACTIVECELL</t>
  </si>
  <si>
    <t>SELECTION</t>
  </si>
  <si>
    <t>SINGLE CELL WHICH IS SELECTED</t>
  </si>
  <si>
    <t>MORE THEN SINGLE CELLS WHICH ARE SELECTED</t>
  </si>
  <si>
    <t>SELECT</t>
  </si>
  <si>
    <t>ACTIVATE</t>
  </si>
  <si>
    <t>VALUE</t>
  </si>
  <si>
    <t xml:space="preserve">COPY </t>
  </si>
  <si>
    <t>PASTESPECIAL</t>
  </si>
  <si>
    <t>FORMULA</t>
  </si>
  <si>
    <t>OFFSET</t>
  </si>
  <si>
    <t>CELL REF WILL BE MENTIONED LIKE TEXT</t>
  </si>
  <si>
    <t>OFF EXP.</t>
  </si>
  <si>
    <t>INPUTBOX</t>
  </si>
  <si>
    <t>MSGBOX</t>
  </si>
  <si>
    <t>DIRECTIONS</t>
  </si>
  <si>
    <t>XLUP</t>
  </si>
  <si>
    <t>XLDOWN</t>
  </si>
  <si>
    <t>XLTORIGHT</t>
  </si>
  <si>
    <t>XLTOLEFT</t>
  </si>
  <si>
    <t>DATA TYPE IN VBA MACROS</t>
  </si>
  <si>
    <t>NUMBER</t>
  </si>
  <si>
    <t>TEXT</t>
  </si>
  <si>
    <t>IN BETWEEN -32767 TO 32767</t>
  </si>
  <si>
    <t>DATA TYPE</t>
  </si>
  <si>
    <t>SPACE</t>
  </si>
  <si>
    <t>INTEGER</t>
  </si>
  <si>
    <t>2 BYTES</t>
  </si>
  <si>
    <t>LESS THEN -32767 OR GRET THEN 32767</t>
  </si>
  <si>
    <t>LONG</t>
  </si>
  <si>
    <t>4 BYTES</t>
  </si>
  <si>
    <t>DECIMAL NUMBER</t>
  </si>
  <si>
    <t>DOUBLE</t>
  </si>
  <si>
    <t>8 BYTES</t>
  </si>
  <si>
    <t>FOR TEXT</t>
  </si>
  <si>
    <t>STRING</t>
  </si>
  <si>
    <t>IF DATA TYPE IS NOT DECLARED THEN IT WILL BE "VARIENT"</t>
  </si>
  <si>
    <t>"VARIENT WILL TAKE THE SPACE OF 16 BYTES</t>
  </si>
  <si>
    <t>LOOP</t>
  </si>
  <si>
    <t>DO</t>
  </si>
  <si>
    <t>FOR</t>
  </si>
  <si>
    <t>DO-LOOP</t>
  </si>
  <si>
    <t>DO UNTIL-LOOP</t>
  </si>
  <si>
    <t>DO WHILE-LOOP</t>
  </si>
  <si>
    <t>FOR-NEXT</t>
  </si>
  <si>
    <t>FOR EACH-NEXT</t>
  </si>
  <si>
    <t>WILL PERFORM THE ACITIVITY TILL CONDITION IS NOT SETISFIED</t>
  </si>
  <si>
    <t>NAME</t>
  </si>
  <si>
    <t>MARKS</t>
  </si>
  <si>
    <t>STATUS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</si>
  <si>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</si>
  <si>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</si>
  <si>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</si>
  <si>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</si>
  <si>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</si>
  <si>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</si>
  <si>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</si>
  <si>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</si>
  <si>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</si>
  <si>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FAIL</t>
  </si>
  <si>
    <t>PASS</t>
  </si>
  <si>
    <t>WILL PERFORM THE ACTIVITY WHILE CONDITION IS SETISFIED</t>
  </si>
  <si>
    <t>WILL PERFORM THE ACTIVITY FOR FIXED NUMBER OF STEPS</t>
  </si>
  <si>
    <t>DIM X AS INT</t>
  </si>
  <si>
    <t>RANGE("A2").SELE</t>
  </si>
  <si>
    <t>X= RANGE(ACTIVECELL,ACTIVECELL.END(XLDOWN)).ROWS.COUNT</t>
  </si>
  <si>
    <t>FOR STP= 1 TO X</t>
  </si>
  <si>
    <t>GRADES</t>
  </si>
  <si>
    <t>COLOUR</t>
  </si>
  <si>
    <t>&gt;=90</t>
  </si>
  <si>
    <t>&gt;=70</t>
  </si>
  <si>
    <t>&gt;=60</t>
  </si>
  <si>
    <t>&gt;=50</t>
  </si>
  <si>
    <t>&lt;50</t>
  </si>
  <si>
    <t>.INTERIOR.COLOR=VBBLUE</t>
  </si>
  <si>
    <t>WILL PERFORM THE ACTIVITY FOR A GROUP OF OBJECT</t>
  </si>
  <si>
    <t>Sheet1</t>
  </si>
  <si>
    <t>INFO</t>
  </si>
  <si>
    <t>Sheet3</t>
  </si>
  <si>
    <t>Sheet2</t>
  </si>
  <si>
    <t>JAN</t>
  </si>
  <si>
    <t>FEB</t>
  </si>
  <si>
    <t>MAR</t>
  </si>
  <si>
    <t>CONSOL</t>
  </si>
  <si>
    <t>Sheet4</t>
  </si>
  <si>
    <t>Sheet5</t>
  </si>
  <si>
    <t>Sheet6</t>
  </si>
  <si>
    <t>Sheet7</t>
  </si>
  <si>
    <t>Sheet8</t>
  </si>
  <si>
    <t>Sheet9</t>
  </si>
  <si>
    <t>Sheet10</t>
  </si>
  <si>
    <t>J</t>
  </si>
  <si>
    <t>K</t>
  </si>
  <si>
    <t>L</t>
  </si>
  <si>
    <t>M</t>
  </si>
  <si>
    <t>N</t>
  </si>
  <si>
    <t>O</t>
  </si>
  <si>
    <t>X</t>
  </si>
  <si>
    <t>Y</t>
  </si>
  <si>
    <t>X+Y</t>
  </si>
  <si>
    <t>PRO</t>
  </si>
  <si>
    <t>NEST</t>
  </si>
  <si>
    <t>IBM</t>
  </si>
  <si>
    <t>VLOOKUP WITH MATCH</t>
  </si>
  <si>
    <t>INDEX WITH MATCH</t>
  </si>
  <si>
    <t>NAMES</t>
  </si>
  <si>
    <t>""PASS""</t>
  </si>
  <si>
    <t>INC</t>
  </si>
  <si>
    <t>EXP</t>
  </si>
  <si>
    <t>INVST</t>
  </si>
  <si>
    <t>OTH</t>
  </si>
  <si>
    <t>SAVING</t>
  </si>
  <si>
    <t>QTY</t>
  </si>
  <si>
    <t>AMT</t>
  </si>
  <si>
    <t>YEARS</t>
  </si>
  <si>
    <t>DEP</t>
  </si>
  <si>
    <t>MAIN</t>
  </si>
  <si>
    <t>SALVAGE</t>
  </si>
  <si>
    <t>VAL*10%</t>
  </si>
  <si>
    <t>(DEP+MAIN)*10%</t>
  </si>
  <si>
    <t>VAL-DEP-MAIN-OTH</t>
  </si>
  <si>
    <t>FUNCTION UDFSALV(QTY AS LONG,AMT AS LONG,YRS AS LONG)</t>
  </si>
  <si>
    <t>MORE THEN 10000000</t>
  </si>
  <si>
    <t>TAX RATE</t>
  </si>
  <si>
    <t>INCOME</t>
  </si>
  <si>
    <t>TAX</t>
  </si>
  <si>
    <t>ABCD</t>
  </si>
  <si>
    <t>COUNTRY</t>
  </si>
  <si>
    <t>G/P</t>
  </si>
  <si>
    <t>AD EXP.</t>
  </si>
  <si>
    <t>N/P</t>
  </si>
  <si>
    <t>INDIA</t>
  </si>
  <si>
    <t>US</t>
  </si>
  <si>
    <t>UK</t>
  </si>
  <si>
    <t>JAPAN</t>
  </si>
  <si>
    <t>FRANCE</t>
  </si>
  <si>
    <t>BRAZIL</t>
  </si>
  <si>
    <t>GERMANY</t>
  </si>
  <si>
    <t>CANADA</t>
  </si>
  <si>
    <t>=OFFSET($A$1,$A$13,MATCH(A$15,$A$1:$H$1,0)-1)</t>
  </si>
  <si>
    <t>=INDEX($A$1:$H$10,$A$13+1,MATCH(A$15,$A$1:$H$1,0))</t>
  </si>
  <si>
    <t>=HLOOKUP(A$15,$A$1:$H$10,$A$13,0)</t>
  </si>
  <si>
    <t>=VLOOKUP(OFFSET($A$1,$A$13,0),$A$1:$H$10,MATCH(A$15,$A$1:$H$1,0),0)</t>
  </si>
  <si>
    <t>=CHOOSE($A$13,A$2,A$3,A$4,A$5,A$6,A$7,A$8,A$9,A$10)</t>
  </si>
  <si>
    <t>ITALY</t>
  </si>
  <si>
    <t>Data For Sales Chart</t>
  </si>
  <si>
    <t>Data For Gantt Chart</t>
  </si>
  <si>
    <t>Date</t>
  </si>
  <si>
    <t>Sales</t>
  </si>
  <si>
    <t>Task</t>
  </si>
  <si>
    <t>Start Date</t>
  </si>
  <si>
    <t>Duration</t>
  </si>
  <si>
    <t>End Date</t>
  </si>
  <si>
    <t>Planning Meeting</t>
  </si>
  <si>
    <t>Develop Questionnaire</t>
  </si>
  <si>
    <t>Print and Mail Questionnaire</t>
  </si>
  <si>
    <t>Receive Responses</t>
  </si>
  <si>
    <t>Data Entry</t>
  </si>
  <si>
    <t>Data Analysis</t>
  </si>
  <si>
    <t>Write Report</t>
  </si>
  <si>
    <t>Distribute Draft Report</t>
  </si>
  <si>
    <t>Solicit Comments</t>
  </si>
  <si>
    <t>Finalize Report</t>
  </si>
  <si>
    <t>Items</t>
  </si>
  <si>
    <t>Expenses</t>
  </si>
  <si>
    <t>Total</t>
  </si>
  <si>
    <t>Percen</t>
  </si>
  <si>
    <t>Food</t>
  </si>
  <si>
    <t>Rent</t>
  </si>
  <si>
    <t>Electric</t>
  </si>
  <si>
    <t>Phone</t>
  </si>
  <si>
    <t>Petrol</t>
  </si>
  <si>
    <t>Water</t>
  </si>
  <si>
    <t>Shoping</t>
  </si>
  <si>
    <t>Water Fall Chart</t>
  </si>
  <si>
    <t>Balance</t>
  </si>
  <si>
    <t>Amount</t>
  </si>
  <si>
    <t>Gross Profit</t>
  </si>
  <si>
    <t>Admin Exp.</t>
  </si>
  <si>
    <t>Office Exp.</t>
  </si>
  <si>
    <t>Others</t>
  </si>
  <si>
    <t>Net Profit</t>
  </si>
  <si>
    <t>GENDER</t>
  </si>
  <si>
    <t>AGE</t>
  </si>
  <si>
    <t>CITY</t>
  </si>
  <si>
    <t>ADDRESS</t>
  </si>
  <si>
    <t>PROBLEM</t>
  </si>
  <si>
    <t>GURGAON</t>
  </si>
  <si>
    <t>FARIDABAD</t>
  </si>
  <si>
    <t>NOIDA</t>
  </si>
  <si>
    <t>DELHI</t>
  </si>
  <si>
    <t>RAJESH</t>
  </si>
  <si>
    <t>MALE</t>
  </si>
  <si>
    <t>SECTOR 15</t>
  </si>
  <si>
    <t>CONNECTION IS NOT WORKING</t>
  </si>
  <si>
    <t>NEERAJ</t>
  </si>
  <si>
    <t>SECTOR 106</t>
  </si>
  <si>
    <t>SLOW CONNECTION.</t>
  </si>
  <si>
    <t>HARSH</t>
  </si>
  <si>
    <t>FEMALE</t>
  </si>
  <si>
    <t>JKLJ</t>
  </si>
  <si>
    <t>KJLJL</t>
  </si>
  <si>
    <t>Data For Pareto Chart/ 2 way / 3way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</si>
</sst>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/mmm/yy;@"/>
  </numFmts>
  <fonts count="5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8"/>
      <color rgb="FF000000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0" borderId="0" xfId="0" applyFill="1"/>
    <xf numFmtId="0" fontId="0" fillId="6" borderId="0" xfId="0" applyFill="1"/>
    <xf numFmtId="0" fontId="1" fillId="0" borderId="0" xfId="0" applyFont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 applyAlignment="1">
      <alignment horizontal="center"/>
    </xf>
    <xf numFmtId="0" fontId="0" fillId="11" borderId="0" xfId="0" applyFill="1"/>
    <xf numFmtId="0" fontId="0" fillId="12" borderId="0" xfId="0" applyFill="1"/>
    <xf numFmtId="0" fontId="0" fillId="12" borderId="0" xfId="0" applyFill="1" applyAlignment="1">
      <alignment horizontal="center"/>
    </xf>
    <xf numFmtId="9" fontId="0" fillId="0" borderId="0" xfId="0" applyNumberFormat="1"/>
    <xf numFmtId="10" fontId="0" fillId="0" borderId="0" xfId="0" applyNumberFormat="1"/>
    <xf numFmtId="0" fontId="0" fillId="13" borderId="0" xfId="0" applyFill="1"/>
    <xf numFmtId="0" fontId="0" fillId="14" borderId="0" xfId="0" applyFill="1"/>
    <xf numFmtId="0" fontId="0" fillId="0" borderId="0" xfId="0" quotePrefix="1"/>
    <xf numFmtId="0" fontId="0" fillId="15" borderId="0" xfId="0" applyFill="1" applyProtection="1"/>
    <xf numFmtId="0" fontId="3" fillId="8" borderId="1" xfId="0" applyFont="1" applyFill="1" applyBorder="1"/>
    <xf numFmtId="0" fontId="0" fillId="8" borderId="2" xfId="0" applyFill="1" applyBorder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14" fontId="0" fillId="0" borderId="6" xfId="0" applyNumberFormat="1" applyBorder="1"/>
    <xf numFmtId="0" fontId="0" fillId="0" borderId="7" xfId="0" applyBorder="1"/>
    <xf numFmtId="164" fontId="0" fillId="0" borderId="0" xfId="0" applyNumberFormat="1"/>
    <xf numFmtId="14" fontId="0" fillId="0" borderId="8" xfId="0" applyNumberFormat="1" applyBorder="1"/>
    <xf numFmtId="0" fontId="0" fillId="0" borderId="9" xfId="0" applyBorder="1"/>
    <xf numFmtId="14" fontId="0" fillId="0" borderId="0" xfId="0" applyNumberFormat="1"/>
    <xf numFmtId="0" fontId="4" fillId="8" borderId="1" xfId="0" applyFont="1" applyFill="1" applyBorder="1" applyAlignment="1">
      <alignment horizontal="center"/>
    </xf>
    <xf numFmtId="0" fontId="4" fillId="8" borderId="3" xfId="0" applyFont="1" applyFill="1" applyBorder="1" applyAlignment="1">
      <alignment horizontal="center"/>
    </xf>
    <xf numFmtId="0" fontId="4" fillId="8" borderId="2" xfId="0" applyFon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3" xfId="0" applyFill="1" applyBorder="1" applyAlignment="1">
      <alignment horizontal="center"/>
    </xf>
    <xf numFmtId="0" fontId="0" fillId="8" borderId="2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Medium9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'Chart Data'!$F$7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</c:spPr>
          <c:invertIfNegative val="0"/>
          <c:cat>
            <c:strRef>
              <c:f>'Chart Data'!$E$8:$E$17</c:f>
              <c:strCache>
                <c:ptCount val="10"/>
                <c:pt idx="0">
                  <c:v>Planning Meeting</c:v>
                </c:pt>
                <c:pt idx="1">
                  <c:v>Develop Questionnaire</c:v>
                </c:pt>
                <c:pt idx="2">
                  <c:v>Print and Mail Questionnaire</c:v>
                </c:pt>
                <c:pt idx="3">
                  <c:v>Receive Responses</c:v>
                </c:pt>
                <c:pt idx="4">
                  <c:v>Data Entry</c:v>
                </c:pt>
                <c:pt idx="5">
                  <c:v>Data Analysis</c:v>
                </c:pt>
                <c:pt idx="6">
                  <c:v>Write Report</c:v>
                </c:pt>
                <c:pt idx="7">
                  <c:v>Distribute Draft Report</c:v>
                </c:pt>
                <c:pt idx="8">
                  <c:v>Solicit Comments</c:v>
                </c:pt>
                <c:pt idx="9">
                  <c:v>Finalize Report</c:v>
                </c:pt>
              </c:strCache>
            </c:strRef>
          </c:cat>
          <c:val>
            <c:numRef>
              <c:f>'Chart Data'!$F$8:$F$17</c:f>
              <c:numCache>
                <c:formatCode>[$-409]d/mmm/yy;@</c:formatCode>
                <c:ptCount val="10"/>
                <c:pt idx="0">
                  <c:v>41289</c:v>
                </c:pt>
                <c:pt idx="1">
                  <c:v>41296</c:v>
                </c:pt>
                <c:pt idx="2">
                  <c:v>41335</c:v>
                </c:pt>
                <c:pt idx="3">
                  <c:v>41349</c:v>
                </c:pt>
                <c:pt idx="4">
                  <c:v>41348</c:v>
                </c:pt>
                <c:pt idx="5">
                  <c:v>41352</c:v>
                </c:pt>
                <c:pt idx="6">
                  <c:v>41358</c:v>
                </c:pt>
                <c:pt idx="7">
                  <c:v>41372</c:v>
                </c:pt>
                <c:pt idx="8">
                  <c:v>41386</c:v>
                </c:pt>
                <c:pt idx="9">
                  <c:v>41388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5F-4EDC-B56E-3F1CC68CA2F1}"/>
            </c:ext>
          </c:extLst>
        </c:ser>
        <c:ser>
          <c:idx val="1"/>
          <c:order val="1"/>
          <c:tx>
            <c:strRef>
              <c:f>'Chart Data'!$G$7</c:f>
              <c:strCache>
                <c:ptCount val="1"/>
                <c:pt idx="0">
                  <c:v>Duration</c:v>
                </c:pt>
              </c:strCache>
            </c:strRef>
          </c:tx>
          <c:spPr>
            <a:solidFill>
              <a:schemeClr val="tx2">
                <a:lumMod val="20000"/>
                <a:lumOff val="80000"/>
              </a:schemeClr>
            </a:solidFill>
          </c:spPr>
          <c:invertIfNegative val="0"/>
          <c:dLbls>
            <c:numFmt formatCode="General\ &quot;Days&quot;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Data'!$E$8:$E$17</c:f>
              <c:strCache>
                <c:ptCount val="10"/>
                <c:pt idx="0">
                  <c:v>Planning Meeting</c:v>
                </c:pt>
                <c:pt idx="1">
                  <c:v>Develop Questionnaire</c:v>
                </c:pt>
                <c:pt idx="2">
                  <c:v>Print and Mail Questionnaire</c:v>
                </c:pt>
                <c:pt idx="3">
                  <c:v>Receive Responses</c:v>
                </c:pt>
                <c:pt idx="4">
                  <c:v>Data Entry</c:v>
                </c:pt>
                <c:pt idx="5">
                  <c:v>Data Analysis</c:v>
                </c:pt>
                <c:pt idx="6">
                  <c:v>Write Report</c:v>
                </c:pt>
                <c:pt idx="7">
                  <c:v>Distribute Draft Report</c:v>
                </c:pt>
                <c:pt idx="8">
                  <c:v>Solicit Comments</c:v>
                </c:pt>
                <c:pt idx="9">
                  <c:v>Finalize Report</c:v>
                </c:pt>
              </c:strCache>
            </c:strRef>
          </c:cat>
          <c:val>
            <c:numRef>
              <c:f>'Chart Data'!$G$8:$G$17</c:f>
              <c:numCache>
                <c:formatCode>General</c:formatCode>
                <c:ptCount val="10"/>
                <c:pt idx="0">
                  <c:v>45</c:v>
                </c:pt>
                <c:pt idx="1">
                  <c:v>46</c:v>
                </c:pt>
                <c:pt idx="2">
                  <c:v>17</c:v>
                </c:pt>
                <c:pt idx="3">
                  <c:v>12</c:v>
                </c:pt>
                <c:pt idx="4">
                  <c:v>20</c:v>
                </c:pt>
                <c:pt idx="5">
                  <c:v>27</c:v>
                </c:pt>
                <c:pt idx="6">
                  <c:v>28</c:v>
                </c:pt>
                <c:pt idx="7">
                  <c:v>17</c:v>
                </c:pt>
                <c:pt idx="8">
                  <c:v>13</c:v>
                </c:pt>
                <c:pt idx="9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55F-4EDC-B56E-3F1CC68CA2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91357696"/>
        <c:axId val="191359232"/>
      </c:barChart>
      <c:catAx>
        <c:axId val="1913576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191359232"/>
        <c:crosses val="autoZero"/>
        <c:auto val="1"/>
        <c:lblAlgn val="ctr"/>
        <c:lblOffset val="100"/>
        <c:noMultiLvlLbl val="0"/>
      </c:catAx>
      <c:valAx>
        <c:axId val="191359232"/>
        <c:scaling>
          <c:orientation val="minMax"/>
          <c:max val="41400"/>
          <c:min val="41289"/>
        </c:scaling>
        <c:delete val="0"/>
        <c:axPos val="t"/>
        <c:majorGridlines/>
        <c:numFmt formatCode="[$-409]d/mmm/yy;@" sourceLinked="1"/>
        <c:majorTickMark val="out"/>
        <c:minorTickMark val="none"/>
        <c:tickLblPos val="nextTo"/>
        <c:crossAx val="191357696"/>
        <c:crosses val="autoZero"/>
        <c:crossBetween val="between"/>
        <c:majorUnit val="4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'Chart Data'!$G$21</c:f>
              <c:strCache>
                <c:ptCount val="1"/>
                <c:pt idx="0">
                  <c:v>Expenses</c:v>
                </c:pt>
              </c:strCache>
            </c:strRef>
          </c:tx>
          <c:invertIfNegative val="0"/>
          <c:cat>
            <c:strRef>
              <c:f>'Chart Data'!$F$22:$F$28</c:f>
              <c:strCache>
                <c:ptCount val="7"/>
                <c:pt idx="0">
                  <c:v>Food</c:v>
                </c:pt>
                <c:pt idx="1">
                  <c:v>Rent</c:v>
                </c:pt>
                <c:pt idx="2">
                  <c:v>Electric</c:v>
                </c:pt>
                <c:pt idx="3">
                  <c:v>Phone</c:v>
                </c:pt>
                <c:pt idx="4">
                  <c:v>Petrol</c:v>
                </c:pt>
                <c:pt idx="5">
                  <c:v>Water</c:v>
                </c:pt>
                <c:pt idx="6">
                  <c:v>Shoping</c:v>
                </c:pt>
              </c:strCache>
            </c:strRef>
          </c:cat>
          <c:val>
            <c:numRef>
              <c:f>'Chart Data'!$G$22:$G$28</c:f>
              <c:numCache>
                <c:formatCode>General</c:formatCode>
                <c:ptCount val="7"/>
                <c:pt idx="0">
                  <c:v>2000</c:v>
                </c:pt>
                <c:pt idx="1">
                  <c:v>4000</c:v>
                </c:pt>
                <c:pt idx="2">
                  <c:v>800</c:v>
                </c:pt>
                <c:pt idx="3">
                  <c:v>500</c:v>
                </c:pt>
                <c:pt idx="4">
                  <c:v>3500</c:v>
                </c:pt>
                <c:pt idx="5">
                  <c:v>1500</c:v>
                </c:pt>
                <c:pt idx="6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F2-4600-8504-9E761D033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2232832"/>
        <c:axId val="192242816"/>
      </c:barChart>
      <c:lineChart>
        <c:grouping val="standard"/>
        <c:varyColors val="0"/>
        <c:ser>
          <c:idx val="2"/>
          <c:order val="1"/>
          <c:tx>
            <c:strRef>
              <c:f>'Chart Data'!$I$21</c:f>
              <c:strCache>
                <c:ptCount val="1"/>
                <c:pt idx="0">
                  <c:v>Percen</c:v>
                </c:pt>
              </c:strCache>
            </c:strRef>
          </c:tx>
          <c:cat>
            <c:strRef>
              <c:f>'Chart Data'!$F$22:$F$28</c:f>
              <c:strCache>
                <c:ptCount val="7"/>
                <c:pt idx="0">
                  <c:v>Food</c:v>
                </c:pt>
                <c:pt idx="1">
                  <c:v>Rent</c:v>
                </c:pt>
                <c:pt idx="2">
                  <c:v>Electric</c:v>
                </c:pt>
                <c:pt idx="3">
                  <c:v>Phone</c:v>
                </c:pt>
                <c:pt idx="4">
                  <c:v>Petrol</c:v>
                </c:pt>
                <c:pt idx="5">
                  <c:v>Water</c:v>
                </c:pt>
                <c:pt idx="6">
                  <c:v>Shoping</c:v>
                </c:pt>
              </c:strCache>
            </c:strRef>
          </c:cat>
          <c:val>
            <c:numRef>
              <c:f>'Chart Data'!$I$22:$I$28</c:f>
              <c:numCache>
                <c:formatCode>0%</c:formatCode>
                <c:ptCount val="7"/>
                <c:pt idx="0">
                  <c:v>0.13513513513513514</c:v>
                </c:pt>
                <c:pt idx="1">
                  <c:v>0.40540540540540543</c:v>
                </c:pt>
                <c:pt idx="2">
                  <c:v>0.45945945945945948</c:v>
                </c:pt>
                <c:pt idx="3">
                  <c:v>0.49324324324324326</c:v>
                </c:pt>
                <c:pt idx="4">
                  <c:v>0.72972972972972971</c:v>
                </c:pt>
                <c:pt idx="5">
                  <c:v>0.83108108108108103</c:v>
                </c:pt>
                <c:pt idx="6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F2-4600-8504-9E761D0336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246144"/>
        <c:axId val="192244352"/>
      </c:lineChart>
      <c:catAx>
        <c:axId val="1922328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92242816"/>
        <c:crosses val="autoZero"/>
        <c:auto val="1"/>
        <c:lblAlgn val="ctr"/>
        <c:lblOffset val="100"/>
        <c:noMultiLvlLbl val="0"/>
      </c:catAx>
      <c:valAx>
        <c:axId val="192242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232832"/>
        <c:crosses val="autoZero"/>
        <c:crossBetween val="between"/>
      </c:valAx>
      <c:valAx>
        <c:axId val="19224435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crossAx val="192246144"/>
        <c:crosses val="max"/>
        <c:crossBetween val="between"/>
      </c:valAx>
      <c:catAx>
        <c:axId val="1922461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92244352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'Chart Data'!$G$32</c:f>
              <c:strCache>
                <c:ptCount val="1"/>
                <c:pt idx="0">
                  <c:v>Balance</c:v>
                </c:pt>
              </c:strCache>
            </c:strRef>
          </c:tx>
          <c:spPr>
            <a:noFill/>
          </c:spPr>
          <c:invertIfNegative val="0"/>
          <c:cat>
            <c:strRef>
              <c:f>'Chart Data'!$F$33:$F$39</c:f>
              <c:strCache>
                <c:ptCount val="7"/>
                <c:pt idx="0">
                  <c:v>Sales</c:v>
                </c:pt>
                <c:pt idx="1">
                  <c:v>COGS</c:v>
                </c:pt>
                <c:pt idx="2">
                  <c:v>Gross Profit</c:v>
                </c:pt>
                <c:pt idx="3">
                  <c:v>Admin Exp.</c:v>
                </c:pt>
                <c:pt idx="4">
                  <c:v>Office Exp.</c:v>
                </c:pt>
                <c:pt idx="5">
                  <c:v>Others</c:v>
                </c:pt>
                <c:pt idx="6">
                  <c:v>Net Profit</c:v>
                </c:pt>
              </c:strCache>
            </c:strRef>
          </c:cat>
          <c:val>
            <c:numRef>
              <c:f>'Chart Data'!$G$33:$G$39</c:f>
              <c:numCache>
                <c:formatCode>General</c:formatCode>
                <c:ptCount val="7"/>
                <c:pt idx="0">
                  <c:v>0</c:v>
                </c:pt>
                <c:pt idx="1">
                  <c:v>4000</c:v>
                </c:pt>
                <c:pt idx="2">
                  <c:v>0</c:v>
                </c:pt>
                <c:pt idx="3">
                  <c:v>3500</c:v>
                </c:pt>
                <c:pt idx="4">
                  <c:v>2700</c:v>
                </c:pt>
                <c:pt idx="5">
                  <c:v>2300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C2-4D9C-96A8-01925D9E02F9}"/>
            </c:ext>
          </c:extLst>
        </c:ser>
        <c:ser>
          <c:idx val="1"/>
          <c:order val="1"/>
          <c:tx>
            <c:strRef>
              <c:f>'Chart Data'!$H$32</c:f>
              <c:strCache>
                <c:ptCount val="1"/>
                <c:pt idx="0">
                  <c:v>Amount</c:v>
                </c:pt>
              </c:strCache>
            </c:strRef>
          </c:tx>
          <c:invertIfNegative val="0"/>
          <c:dPt>
            <c:idx val="0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2-ADC2-4D9C-96A8-01925D9E02F9}"/>
              </c:ext>
            </c:extLst>
          </c:dPt>
          <c:dPt>
            <c:idx val="1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4-ADC2-4D9C-96A8-01925D9E02F9}"/>
              </c:ext>
            </c:extLst>
          </c:dPt>
          <c:dPt>
            <c:idx val="2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6-ADC2-4D9C-96A8-01925D9E02F9}"/>
              </c:ext>
            </c:extLst>
          </c:dPt>
          <c:dPt>
            <c:idx val="3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8-ADC2-4D9C-96A8-01925D9E02F9}"/>
              </c:ext>
            </c:extLst>
          </c:dPt>
          <c:dPt>
            <c:idx val="4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A-ADC2-4D9C-96A8-01925D9E02F9}"/>
              </c:ext>
            </c:extLst>
          </c:dPt>
          <c:dPt>
            <c:idx val="5"/>
            <c:invertIfNegative val="0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C-ADC2-4D9C-96A8-01925D9E02F9}"/>
              </c:ext>
            </c:extLst>
          </c:dPt>
          <c:dPt>
            <c:idx val="6"/>
            <c:invertIfNegative val="0"/>
            <c:bubble3D val="0"/>
            <c:spPr>
              <a:solidFill>
                <a:schemeClr val="tx2">
                  <a:lumMod val="40000"/>
                  <a:lumOff val="60000"/>
                </a:schemeClr>
              </a:solidFill>
            </c:spPr>
            <c:extLst>
              <c:ext xmlns:c16="http://schemas.microsoft.com/office/drawing/2014/chart" uri="{C3380CC4-5D6E-409C-BE32-E72D297353CC}">
                <c16:uniqueId val="{0000000E-ADC2-4D9C-96A8-01925D9E02F9}"/>
              </c:ext>
            </c:extLst>
          </c:dPt>
          <c:dLbls>
            <c:dLbl>
              <c:idx val="1"/>
              <c:layout>
                <c:manualLayout>
                  <c:x val="2.7777777777777779E-3"/>
                  <c:y val="2.928331875182268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DC2-4D9C-96A8-01925D9E02F9}"/>
                </c:ext>
              </c:extLst>
            </c:dLbl>
            <c:dLbl>
              <c:idx val="3"/>
              <c:layout>
                <c:manualLayout>
                  <c:x val="0"/>
                  <c:y val="-1.7709244677748615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ADC2-4D9C-96A8-01925D9E02F9}"/>
                </c:ext>
              </c:extLst>
            </c:dLbl>
            <c:dLbl>
              <c:idx val="4"/>
              <c:layout>
                <c:manualLayout>
                  <c:x val="2.7777777777777779E-3"/>
                  <c:y val="-2.6552930883639546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DC2-4D9C-96A8-01925D9E02F9}"/>
                </c:ext>
              </c:extLst>
            </c:dLbl>
            <c:dLbl>
              <c:idx val="5"/>
              <c:layout>
                <c:manualLayout>
                  <c:x val="0"/>
                  <c:y val="-5.2749175583821778E-3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DC2-4D9C-96A8-01925D9E02F9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'Chart Data'!$F$33:$F$39</c:f>
              <c:strCache>
                <c:ptCount val="7"/>
                <c:pt idx="0">
                  <c:v>Sales</c:v>
                </c:pt>
                <c:pt idx="1">
                  <c:v>COGS</c:v>
                </c:pt>
                <c:pt idx="2">
                  <c:v>Gross Profit</c:v>
                </c:pt>
                <c:pt idx="3">
                  <c:v>Admin Exp.</c:v>
                </c:pt>
                <c:pt idx="4">
                  <c:v>Office Exp.</c:v>
                </c:pt>
                <c:pt idx="5">
                  <c:v>Others</c:v>
                </c:pt>
                <c:pt idx="6">
                  <c:v>Net Profit</c:v>
                </c:pt>
              </c:strCache>
            </c:strRef>
          </c:cat>
          <c:val>
            <c:numRef>
              <c:f>'Chart Data'!$H$33:$H$39</c:f>
              <c:numCache>
                <c:formatCode>General</c:formatCode>
                <c:ptCount val="7"/>
                <c:pt idx="0">
                  <c:v>5000</c:v>
                </c:pt>
                <c:pt idx="1">
                  <c:v>1000</c:v>
                </c:pt>
                <c:pt idx="2">
                  <c:v>4000</c:v>
                </c:pt>
                <c:pt idx="3">
                  <c:v>500</c:v>
                </c:pt>
                <c:pt idx="4">
                  <c:v>800</c:v>
                </c:pt>
                <c:pt idx="5">
                  <c:v>400</c:v>
                </c:pt>
                <c:pt idx="6">
                  <c:v>2300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DC2-4D9C-96A8-01925D9E0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8"/>
        <c:overlap val="100"/>
        <c:axId val="192281984"/>
        <c:axId val="136066176"/>
      </c:barChart>
      <c:catAx>
        <c:axId val="192281984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6066176"/>
        <c:crosses val="autoZero"/>
        <c:auto val="1"/>
        <c:lblAlgn val="ctr"/>
        <c:lblOffset val="100"/>
        <c:noMultiLvlLbl val="0"/>
      </c:catAx>
      <c:valAx>
        <c:axId val="1360661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228198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DASHBOARD!$B$81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DASHBOARD!$A$82:$A$86</c:f>
              <c:strCache>
                <c:ptCount val="5"/>
                <c:pt idx="0">
                  <c:v>INDIA</c:v>
                </c:pt>
                <c:pt idx="1">
                  <c:v>US</c:v>
                </c:pt>
                <c:pt idx="2">
                  <c:v>UK</c:v>
                </c:pt>
                <c:pt idx="3">
                  <c:v>JAPAN</c:v>
                </c:pt>
                <c:pt idx="4">
                  <c:v>FRANCE</c:v>
                </c:pt>
              </c:strCache>
            </c:strRef>
          </c:cat>
          <c:val>
            <c:numRef>
              <c:f>DASHBOARD!$B$82:$B$86</c:f>
              <c:numCache>
                <c:formatCode>General</c:formatCode>
                <c:ptCount val="5"/>
                <c:pt idx="0">
                  <c:v>10000</c:v>
                </c:pt>
                <c:pt idx="1">
                  <c:v>12000</c:v>
                </c:pt>
                <c:pt idx="2">
                  <c:v>14000</c:v>
                </c:pt>
                <c:pt idx="3">
                  <c:v>16000</c:v>
                </c:pt>
                <c:pt idx="4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E0F-4609-AB40-C9D835309FDC}"/>
            </c:ext>
          </c:extLst>
        </c:ser>
        <c:ser>
          <c:idx val="1"/>
          <c:order val="1"/>
          <c:tx>
            <c:strRef>
              <c:f>DASHBOARD!$C$81</c:f>
              <c:strCache>
                <c:ptCount val="1"/>
                <c:pt idx="0">
                  <c:v>COGS</c:v>
                </c:pt>
              </c:strCache>
            </c:strRef>
          </c:tx>
          <c:invertIfNegative val="0"/>
          <c:cat>
            <c:strRef>
              <c:f>DASHBOARD!$A$82:$A$86</c:f>
              <c:strCache>
                <c:ptCount val="5"/>
                <c:pt idx="0">
                  <c:v>INDIA</c:v>
                </c:pt>
                <c:pt idx="1">
                  <c:v>US</c:v>
                </c:pt>
                <c:pt idx="2">
                  <c:v>UK</c:v>
                </c:pt>
                <c:pt idx="3">
                  <c:v>JAPAN</c:v>
                </c:pt>
                <c:pt idx="4">
                  <c:v>FRANCE</c:v>
                </c:pt>
              </c:strCache>
            </c:strRef>
          </c:cat>
          <c:val>
            <c:numRef>
              <c:f>DASHBOARD!$C$82:$C$86</c:f>
              <c:numCache>
                <c:formatCode>General</c:formatCode>
                <c:ptCount val="5"/>
                <c:pt idx="0">
                  <c:v>6000</c:v>
                </c:pt>
                <c:pt idx="1">
                  <c:v>3000</c:v>
                </c:pt>
                <c:pt idx="2">
                  <c:v>12000</c:v>
                </c:pt>
                <c:pt idx="3">
                  <c:v>6400</c:v>
                </c:pt>
                <c:pt idx="4">
                  <c:v>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E0F-4609-AB40-C9D835309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345472"/>
        <c:axId val="136347008"/>
      </c:barChart>
      <c:catAx>
        <c:axId val="13634547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6347008"/>
        <c:crosses val="autoZero"/>
        <c:auto val="1"/>
        <c:lblAlgn val="ctr"/>
        <c:lblOffset val="100"/>
        <c:noMultiLvlLbl val="0"/>
      </c:catAx>
      <c:valAx>
        <c:axId val="1363470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3454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DASHBOARD!$B$81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DASHBOARD!$A$82:$A$86</c:f>
              <c:strCache>
                <c:ptCount val="5"/>
                <c:pt idx="0">
                  <c:v>INDIA</c:v>
                </c:pt>
                <c:pt idx="1">
                  <c:v>US</c:v>
                </c:pt>
                <c:pt idx="2">
                  <c:v>UK</c:v>
                </c:pt>
                <c:pt idx="3">
                  <c:v>JAPAN</c:v>
                </c:pt>
                <c:pt idx="4">
                  <c:v>FRANCE</c:v>
                </c:pt>
              </c:strCache>
            </c:strRef>
          </c:cat>
          <c:val>
            <c:numRef>
              <c:f>DASHBOARD!$B$82:$B$86</c:f>
              <c:numCache>
                <c:formatCode>General</c:formatCode>
                <c:ptCount val="5"/>
                <c:pt idx="0">
                  <c:v>10000</c:v>
                </c:pt>
                <c:pt idx="1">
                  <c:v>12000</c:v>
                </c:pt>
                <c:pt idx="2">
                  <c:v>14000</c:v>
                </c:pt>
                <c:pt idx="3">
                  <c:v>16000</c:v>
                </c:pt>
                <c:pt idx="4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458-41B2-8821-4365FB89B52D}"/>
            </c:ext>
          </c:extLst>
        </c:ser>
        <c:ser>
          <c:idx val="1"/>
          <c:order val="1"/>
          <c:tx>
            <c:strRef>
              <c:f>DASHBOARD!$C$81</c:f>
              <c:strCache>
                <c:ptCount val="1"/>
                <c:pt idx="0">
                  <c:v>COGS</c:v>
                </c:pt>
              </c:strCache>
            </c:strRef>
          </c:tx>
          <c:invertIfNegative val="0"/>
          <c:cat>
            <c:strRef>
              <c:f>DASHBOARD!$A$82:$A$86</c:f>
              <c:strCache>
                <c:ptCount val="5"/>
                <c:pt idx="0">
                  <c:v>INDIA</c:v>
                </c:pt>
                <c:pt idx="1">
                  <c:v>US</c:v>
                </c:pt>
                <c:pt idx="2">
                  <c:v>UK</c:v>
                </c:pt>
                <c:pt idx="3">
                  <c:v>JAPAN</c:v>
                </c:pt>
                <c:pt idx="4">
                  <c:v>FRANCE</c:v>
                </c:pt>
              </c:strCache>
            </c:strRef>
          </c:cat>
          <c:val>
            <c:numRef>
              <c:f>DASHBOARD!$C$82:$C$86</c:f>
              <c:numCache>
                <c:formatCode>General</c:formatCode>
                <c:ptCount val="5"/>
                <c:pt idx="0">
                  <c:v>6000</c:v>
                </c:pt>
                <c:pt idx="1">
                  <c:v>3000</c:v>
                </c:pt>
                <c:pt idx="2">
                  <c:v>12000</c:v>
                </c:pt>
                <c:pt idx="3">
                  <c:v>6400</c:v>
                </c:pt>
                <c:pt idx="4">
                  <c:v>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458-41B2-8821-4365FB89B5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376320"/>
        <c:axId val="136377856"/>
      </c:barChart>
      <c:catAx>
        <c:axId val="13637632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6377856"/>
        <c:crosses val="autoZero"/>
        <c:auto val="1"/>
        <c:lblAlgn val="ctr"/>
        <c:lblOffset val="100"/>
        <c:noMultiLvlLbl val="0"/>
      </c:catAx>
      <c:valAx>
        <c:axId val="1363778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37632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DASHBOARD!$B$81</c:f>
              <c:strCache>
                <c:ptCount val="1"/>
                <c:pt idx="0">
                  <c:v>SALES</c:v>
                </c:pt>
              </c:strCache>
            </c:strRef>
          </c:tx>
          <c:invertIfNegative val="0"/>
          <c:cat>
            <c:strRef>
              <c:f>DASHBOARD!$A$82:$A$86</c:f>
              <c:strCache>
                <c:ptCount val="5"/>
                <c:pt idx="0">
                  <c:v>INDIA</c:v>
                </c:pt>
                <c:pt idx="1">
                  <c:v>US</c:v>
                </c:pt>
                <c:pt idx="2">
                  <c:v>UK</c:v>
                </c:pt>
                <c:pt idx="3">
                  <c:v>JAPAN</c:v>
                </c:pt>
                <c:pt idx="4">
                  <c:v>FRANCE</c:v>
                </c:pt>
              </c:strCache>
            </c:strRef>
          </c:cat>
          <c:val>
            <c:numRef>
              <c:f>DASHBOARD!$B$82:$B$86</c:f>
              <c:numCache>
                <c:formatCode>General</c:formatCode>
                <c:ptCount val="5"/>
                <c:pt idx="0">
                  <c:v>10000</c:v>
                </c:pt>
                <c:pt idx="1">
                  <c:v>12000</c:v>
                </c:pt>
                <c:pt idx="2">
                  <c:v>14000</c:v>
                </c:pt>
                <c:pt idx="3">
                  <c:v>16000</c:v>
                </c:pt>
                <c:pt idx="4">
                  <c:v>18000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74-4000-8AD4-02FFD8C346FA}"/>
            </c:ext>
          </c:extLst>
        </c:ser>
        <c:ser>
          <c:idx val="1"/>
          <c:order val="1"/>
          <c:tx>
            <c:strRef>
              <c:f>DASHBOARD!$C$81</c:f>
              <c:strCache>
                <c:ptCount val="1"/>
                <c:pt idx="0">
                  <c:v>COGS</c:v>
                </c:pt>
              </c:strCache>
            </c:strRef>
          </c:tx>
          <c:invertIfNegative val="0"/>
          <c:cat>
            <c:strRef>
              <c:f>DASHBOARD!$A$82:$A$86</c:f>
              <c:strCache>
                <c:ptCount val="5"/>
                <c:pt idx="0">
                  <c:v>INDIA</c:v>
                </c:pt>
                <c:pt idx="1">
                  <c:v>US</c:v>
                </c:pt>
                <c:pt idx="2">
                  <c:v>UK</c:v>
                </c:pt>
                <c:pt idx="3">
                  <c:v>JAPAN</c:v>
                </c:pt>
                <c:pt idx="4">
                  <c:v>FRANCE</c:v>
                </c:pt>
              </c:strCache>
            </c:strRef>
          </c:cat>
          <c:val>
            <c:numRef>
              <c:f>DASHBOARD!$C$82:$C$86</c:f>
              <c:numCache>
                <c:formatCode>General</c:formatCode>
                <c:ptCount val="5"/>
                <c:pt idx="0">
                  <c:v>6000</c:v>
                </c:pt>
                <c:pt idx="1">
                  <c:v>3000</c:v>
                </c:pt>
                <c:pt idx="2">
                  <c:v>12000</c:v>
                </c:pt>
                <c:pt idx="3">
                  <c:v>6400</c:v>
                </c:pt>
                <c:pt idx="4">
                  <c:v>7200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E74-4000-8AD4-02FFD8C34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36132480"/>
        <c:axId val="136134016"/>
      </c:barChart>
      <c:catAx>
        <c:axId val="136132480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6134016"/>
        <c:crosses val="autoZero"/>
        <c:auto val="1"/>
        <c:lblAlgn val="ctr"/>
        <c:lblOffset val="100"/>
        <c:noMultiLvlLbl val="0"/>
      </c:catAx>
      <c:valAx>
        <c:axId val="13613401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36132480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DASHBOARD!$A$16</c:f>
              <c:strCache>
                <c:ptCount val="1"/>
                <c:pt idx="0">
                  <c:v>INDIA</c:v>
                </c:pt>
              </c:strCache>
            </c:strRef>
          </c:tx>
          <c:invertIfNegative val="0"/>
          <c:cat>
            <c:strRef>
              <c:f>DASHBOARD!$B$15:$H$15</c:f>
              <c:strCache>
                <c:ptCount val="7"/>
                <c:pt idx="0">
                  <c:v>SALES</c:v>
                </c:pt>
                <c:pt idx="1">
                  <c:v>COGS</c:v>
                </c:pt>
                <c:pt idx="2">
                  <c:v>G/P</c:v>
                </c:pt>
                <c:pt idx="3">
                  <c:v>OFF EXP.</c:v>
                </c:pt>
                <c:pt idx="4">
                  <c:v>AD EXP.</c:v>
                </c:pt>
                <c:pt idx="5">
                  <c:v>OTHERS</c:v>
                </c:pt>
                <c:pt idx="6">
                  <c:v>N/P</c:v>
                </c:pt>
              </c:strCache>
            </c:strRef>
          </c:cat>
          <c:val>
            <c:numRef>
              <c:f>DASHBOARD!$B$16:$H$16</c:f>
              <c:numCache>
                <c:formatCode>General</c:formatCode>
                <c:ptCount val="7"/>
                <c:pt idx="0">
                  <c:v>10000</c:v>
                </c:pt>
                <c:pt idx="1">
                  <c:v>4000</c:v>
                </c:pt>
                <c:pt idx="2">
                  <c:v>6000</c:v>
                </c:pt>
                <c:pt idx="3">
                  <c:v>1500</c:v>
                </c:pt>
                <c:pt idx="4">
                  <c:v>800</c:v>
                </c:pt>
                <c:pt idx="5">
                  <c:v>1200</c:v>
                </c:pt>
                <c:pt idx="6">
                  <c:v>2500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544-4140-B15C-2D1F48151B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6162688"/>
        <c:axId val="136172672"/>
      </c:barChart>
      <c:catAx>
        <c:axId val="1361626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36172672"/>
        <c:crosses val="autoZero"/>
        <c:auto val="1"/>
        <c:lblAlgn val="ctr"/>
        <c:lblOffset val="100"/>
        <c:noMultiLvlLbl val="0"/>
      </c:catAx>
      <c:valAx>
        <c:axId val="1361726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616268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List" dx="16" fmlaLink="$A$13" fmlaRange="$A$2:$A$10" noThreeD="1" sel="8" val="0"/>
</file>

<file path=xl/ctrlProps/ctrlProp2.xml><?xml version="1.0" encoding="utf-8"?>
<formControlPr xmlns="http://schemas.microsoft.com/office/spreadsheetml/2009/9/main" objectType="Drop" dropLines="5" dropStyle="combo" dx="16" fmlaLink="$B$13" fmlaRange="$A$2:$A$10" noThreeD="1" sel="4" val="0"/>
</file>

<file path=xl/ctrlProps/ctrlProp3.xml><?xml version="1.0" encoding="utf-8"?>
<formControlPr xmlns="http://schemas.microsoft.com/office/spreadsheetml/2009/9/main" objectType="Radio" checked="Checked" firstButton="1" fmlaLink="$C$13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Spin" dx="16" fmlaLink="$D$13" max="9" min="1" page="10"/>
</file>

<file path=xl/ctrlProps/ctrlProp8.xml><?xml version="1.0" encoding="utf-8"?>
<formControlPr xmlns="http://schemas.microsoft.com/office/spreadsheetml/2009/9/main" objectType="Scroll" dx="16" fmlaLink="$E$13" max="9" min="1" page="1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4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47626</xdr:colOff>
      <xdr:row>5</xdr:row>
      <xdr:rowOff>39687</xdr:rowOff>
    </xdr:from>
    <xdr:to>
      <xdr:col>15</xdr:col>
      <xdr:colOff>134938</xdr:colOff>
      <xdr:row>16</xdr:row>
      <xdr:rowOff>93662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158750</xdr:colOff>
      <xdr:row>19</xdr:row>
      <xdr:rowOff>39686</xdr:rowOff>
    </xdr:from>
    <xdr:to>
      <xdr:col>15</xdr:col>
      <xdr:colOff>7937</xdr:colOff>
      <xdr:row>28</xdr:row>
      <xdr:rowOff>188911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500063</xdr:colOff>
      <xdr:row>30</xdr:row>
      <xdr:rowOff>79375</xdr:rowOff>
    </xdr:from>
    <xdr:to>
      <xdr:col>15</xdr:col>
      <xdr:colOff>150812</xdr:colOff>
      <xdr:row>42</xdr:row>
      <xdr:rowOff>6350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44</xdr:row>
      <xdr:rowOff>45244</xdr:rowOff>
    </xdr:from>
    <xdr:to>
      <xdr:col>7</xdr:col>
      <xdr:colOff>101203</xdr:colOff>
      <xdr:row>58</xdr:row>
      <xdr:rowOff>121444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45</xdr:row>
      <xdr:rowOff>21432</xdr:rowOff>
    </xdr:from>
    <xdr:to>
      <xdr:col>7</xdr:col>
      <xdr:colOff>101203</xdr:colOff>
      <xdr:row>59</xdr:row>
      <xdr:rowOff>97632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416719</xdr:colOff>
      <xdr:row>36</xdr:row>
      <xdr:rowOff>148829</xdr:rowOff>
    </xdr:from>
    <xdr:to>
      <xdr:col>7</xdr:col>
      <xdr:colOff>119063</xdr:colOff>
      <xdr:row>45</xdr:row>
      <xdr:rowOff>8337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447675</xdr:colOff>
          <xdr:row>19</xdr:row>
          <xdr:rowOff>161925</xdr:rowOff>
        </xdr:from>
        <xdr:to>
          <xdr:col>7</xdr:col>
          <xdr:colOff>542925</xdr:colOff>
          <xdr:row>24</xdr:row>
          <xdr:rowOff>114300</xdr:rowOff>
        </xdr:to>
        <xdr:sp macro="" textlink="">
          <xdr:nvSpPr>
            <xdr:cNvPr id="20482" name="List Box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14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71438</xdr:colOff>
      <xdr:row>18</xdr:row>
      <xdr:rowOff>172639</xdr:rowOff>
    </xdr:from>
    <xdr:to>
      <xdr:col>5</xdr:col>
      <xdr:colOff>583407</xdr:colOff>
      <xdr:row>30</xdr:row>
      <xdr:rowOff>169068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228600</xdr:colOff>
          <xdr:row>20</xdr:row>
          <xdr:rowOff>28575</xdr:rowOff>
        </xdr:from>
        <xdr:to>
          <xdr:col>9</xdr:col>
          <xdr:colOff>85725</xdr:colOff>
          <xdr:row>22</xdr:row>
          <xdr:rowOff>161925</xdr:rowOff>
        </xdr:to>
        <xdr:sp macro="" textlink="">
          <xdr:nvSpPr>
            <xdr:cNvPr id="20483" name="Drop Down 3" hidden="1">
              <a:extLst>
                <a:ext uri="{63B3BB69-23CF-44E3-9099-C40C66FF867C}">
                  <a14:compatExt spid="_x0000_s20483"/>
                </a:ext>
                <a:ext uri="{FF2B5EF4-FFF2-40B4-BE49-F238E27FC236}">
                  <a16:creationId xmlns:a16="http://schemas.microsoft.com/office/drawing/2014/main" id="{00000000-0008-0000-1400-000003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20</xdr:row>
          <xdr:rowOff>9525</xdr:rowOff>
        </xdr:from>
        <xdr:to>
          <xdr:col>10</xdr:col>
          <xdr:colOff>485775</xdr:colOff>
          <xdr:row>21</xdr:row>
          <xdr:rowOff>142875</xdr:rowOff>
        </xdr:to>
        <xdr:sp macro="" textlink="">
          <xdr:nvSpPr>
            <xdr:cNvPr id="20490" name="Option Button 4" hidden="1">
              <a:extLst>
                <a:ext uri="{63B3BB69-23CF-44E3-9099-C40C66FF867C}">
                  <a14:compatExt spid="_x0000_s20490"/>
                </a:ext>
                <a:ext uri="{FF2B5EF4-FFF2-40B4-BE49-F238E27FC236}">
                  <a16:creationId xmlns:a16="http://schemas.microsoft.com/office/drawing/2014/main" id="{00000000-0008-0000-1400-00000A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23</xdr:row>
          <xdr:rowOff>85725</xdr:rowOff>
        </xdr:from>
        <xdr:to>
          <xdr:col>9</xdr:col>
          <xdr:colOff>304800</xdr:colOff>
          <xdr:row>25</xdr:row>
          <xdr:rowOff>28575</xdr:rowOff>
        </xdr:to>
        <xdr:sp macro="" textlink="">
          <xdr:nvSpPr>
            <xdr:cNvPr id="20485" name="Option Button 5" hidden="1">
              <a:extLst>
                <a:ext uri="{63B3BB69-23CF-44E3-9099-C40C66FF867C}">
                  <a14:compatExt spid="_x0000_s20485"/>
                </a:ext>
                <a:ext uri="{FF2B5EF4-FFF2-40B4-BE49-F238E27FC236}">
                  <a16:creationId xmlns:a16="http://schemas.microsoft.com/office/drawing/2014/main" id="{00000000-0008-0000-1400-000005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466725</xdr:colOff>
          <xdr:row>23</xdr:row>
          <xdr:rowOff>66675</xdr:rowOff>
        </xdr:from>
        <xdr:to>
          <xdr:col>10</xdr:col>
          <xdr:colOff>590550</xdr:colOff>
          <xdr:row>25</xdr:row>
          <xdr:rowOff>9525</xdr:rowOff>
        </xdr:to>
        <xdr:sp macro="" textlink="">
          <xdr:nvSpPr>
            <xdr:cNvPr id="20486" name="Option Button 6" hidden="1">
              <a:extLst>
                <a:ext uri="{63B3BB69-23CF-44E3-9099-C40C66FF867C}">
                  <a14:compatExt spid="_x0000_s20486"/>
                </a:ext>
                <a:ext uri="{FF2B5EF4-FFF2-40B4-BE49-F238E27FC236}">
                  <a16:creationId xmlns:a16="http://schemas.microsoft.com/office/drawing/2014/main" id="{00000000-0008-0000-1400-000006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285750</xdr:colOff>
          <xdr:row>25</xdr:row>
          <xdr:rowOff>104775</xdr:rowOff>
        </xdr:from>
        <xdr:to>
          <xdr:col>9</xdr:col>
          <xdr:colOff>409575</xdr:colOff>
          <xdr:row>27</xdr:row>
          <xdr:rowOff>57150</xdr:rowOff>
        </xdr:to>
        <xdr:sp macro="" textlink="">
          <xdr:nvSpPr>
            <xdr:cNvPr id="20487" name="Option Button 7" hidden="1">
              <a:extLst>
                <a:ext uri="{63B3BB69-23CF-44E3-9099-C40C66FF867C}">
                  <a14:compatExt spid="_x0000_s20487"/>
                </a:ext>
                <a:ext uri="{FF2B5EF4-FFF2-40B4-BE49-F238E27FC236}">
                  <a16:creationId xmlns:a16="http://schemas.microsoft.com/office/drawing/2014/main" id="{00000000-0008-0000-1400-000007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JAPAN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219075</xdr:colOff>
          <xdr:row>25</xdr:row>
          <xdr:rowOff>95250</xdr:rowOff>
        </xdr:from>
        <xdr:to>
          <xdr:col>7</xdr:col>
          <xdr:colOff>200025</xdr:colOff>
          <xdr:row>29</xdr:row>
          <xdr:rowOff>19050</xdr:rowOff>
        </xdr:to>
        <xdr:sp macro="" textlink="">
          <xdr:nvSpPr>
            <xdr:cNvPr id="20488" name="Spinner 8" hidden="1">
              <a:extLst>
                <a:ext uri="{63B3BB69-23CF-44E3-9099-C40C66FF867C}">
                  <a14:compatExt spid="_x0000_s20488"/>
                </a:ext>
                <a:ext uri="{FF2B5EF4-FFF2-40B4-BE49-F238E27FC236}">
                  <a16:creationId xmlns:a16="http://schemas.microsoft.com/office/drawing/2014/main" id="{00000000-0008-0000-1400-000008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25</xdr:row>
          <xdr:rowOff>66675</xdr:rowOff>
        </xdr:from>
        <xdr:to>
          <xdr:col>8</xdr:col>
          <xdr:colOff>123825</xdr:colOff>
          <xdr:row>29</xdr:row>
          <xdr:rowOff>19050</xdr:rowOff>
        </xdr:to>
        <xdr:sp macro="" textlink="">
          <xdr:nvSpPr>
            <xdr:cNvPr id="20489" name="Scroll Bar 9" hidden="1">
              <a:extLst>
                <a:ext uri="{63B3BB69-23CF-44E3-9099-C40C66FF867C}">
                  <a14:compatExt spid="_x0000_s20489"/>
                </a:ext>
                <a:ext uri="{FF2B5EF4-FFF2-40B4-BE49-F238E27FC236}">
                  <a16:creationId xmlns:a16="http://schemas.microsoft.com/office/drawing/2014/main" id="{00000000-0008-0000-1400-000009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361950</xdr:colOff>
          <xdr:row>20</xdr:row>
          <xdr:rowOff>9525</xdr:rowOff>
        </xdr:from>
        <xdr:to>
          <xdr:col>10</xdr:col>
          <xdr:colOff>485775</xdr:colOff>
          <xdr:row>21</xdr:row>
          <xdr:rowOff>142875</xdr:rowOff>
        </xdr:to>
        <xdr:sp macro="" textlink="">
          <xdr:nvSpPr>
            <xdr:cNvPr id="20484" name="Option Button 4" hidden="1">
              <a:extLst>
                <a:ext uri="{63B3BB69-23CF-44E3-9099-C40C66FF867C}">
                  <a14:compatExt spid="_x0000_s20484"/>
                </a:ext>
                <a:ext uri="{FF2B5EF4-FFF2-40B4-BE49-F238E27FC236}">
                  <a16:creationId xmlns:a16="http://schemas.microsoft.com/office/drawing/2014/main" id="{00000000-0008-0000-1400-000004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IN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INDIA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416092</xdr:colOff>
      <xdr:row>0</xdr:row>
      <xdr:rowOff>85224</xdr:rowOff>
    </xdr:from>
    <xdr:to>
      <xdr:col>7</xdr:col>
      <xdr:colOff>365961</xdr:colOff>
      <xdr:row>2</xdr:row>
      <xdr:rowOff>95250</xdr:rowOff>
    </xdr:to>
    <xdr:sp macro="[0]!SHOWUSRFOR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SpPr/>
      </xdr:nvSpPr>
      <xdr:spPr>
        <a:xfrm>
          <a:off x="5143500" y="85224"/>
          <a:ext cx="561474" cy="39102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IN" sz="1100"/>
            <a:t>RUN</a:t>
          </a:r>
        </a:p>
      </xdr:txBody>
    </xdr:sp>
    <xdr:clientData/>
  </xdr:twoCellAnchor>
  <xdr:twoCellAnchor>
    <xdr:from>
      <xdr:col>6</xdr:col>
      <xdr:colOff>381000</xdr:colOff>
      <xdr:row>2</xdr:row>
      <xdr:rowOff>180474</xdr:rowOff>
    </xdr:from>
    <xdr:to>
      <xdr:col>7</xdr:col>
      <xdr:colOff>431132</xdr:colOff>
      <xdr:row>4</xdr:row>
      <xdr:rowOff>110289</xdr:rowOff>
    </xdr:to>
    <xdr:sp macro="[0]!SHOWUSRFORM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SpPr/>
      </xdr:nvSpPr>
      <xdr:spPr>
        <a:xfrm>
          <a:off x="5108408" y="561474"/>
          <a:ext cx="661737" cy="310815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ADDTX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  <sheetName val="ADDTX"/>
    </sheetNames>
    <definedNames>
      <definedName name="INCTX"/>
    </definedNames>
    <sheetDataSet>
      <sheetData sheetId="0"/>
      <sheetData sheetId="1"/>
      <sheetData sheetId="2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K1:BG70"/>
  <sheetViews>
    <sheetView topLeftCell="P1" zoomScale="205" zoomScaleNormal="205" workbookViewId="0">
      <selection activeCell="X1" sqref="X1"/>
    </sheetView>
  </sheetViews>
  <sheetFormatPr defaultRowHeight="15" x14ac:dyDescent="0.25"/>
  <cols>
    <col min="1" max="1" width="13.7109375" bestFit="1" customWidth="1"/>
    <col min="2" max="3" width="7.140625" bestFit="1" customWidth="1"/>
    <col min="4" max="4" width="13.7109375" bestFit="1" customWidth="1"/>
    <col min="6" max="6" width="13.7109375" bestFit="1" customWidth="1"/>
    <col min="11" max="11" width="13.7109375" bestFit="1" customWidth="1"/>
    <col min="12" max="13" width="6" bestFit="1" customWidth="1"/>
    <col min="42" max="42" width="13.7109375" bestFit="1" customWidth="1"/>
    <col min="43" max="44" width="7.7109375" bestFit="1" customWidth="1"/>
    <col min="55" max="55" width="13.7109375" bestFit="1" customWidth="1"/>
    <col min="56" max="56" width="7.140625" bestFit="1" customWidth="1"/>
    <col min="57" max="57" width="13.7109375" bestFit="1" customWidth="1"/>
    <col min="58" max="59" width="7.140625" bestFit="1" customWidth="1"/>
    <col min="60" max="60" width="2" bestFit="1" customWidth="1"/>
  </cols>
  <sheetData>
    <row r="1" spans="11:26" x14ac:dyDescent="0.25">
      <c r="X1" t="s">
        <v>103</v>
      </c>
      <c r="Y1">
        <v>20</v>
      </c>
      <c r="Z1">
        <v>30</v>
      </c>
    </row>
    <row r="4" spans="11:26" x14ac:dyDescent="0.25">
      <c r="L4">
        <v>2015</v>
      </c>
      <c r="M4">
        <v>2016</v>
      </c>
    </row>
    <row r="5" spans="11:26" x14ac:dyDescent="0.25">
      <c r="K5" t="s">
        <v>0</v>
      </c>
      <c r="L5">
        <v>50000</v>
      </c>
      <c r="M5">
        <f>L5+(L5*10%)</f>
        <v>55000</v>
      </c>
    </row>
    <row r="6" spans="11:26" x14ac:dyDescent="0.25">
      <c r="K6" t="s">
        <v>1</v>
      </c>
      <c r="L6">
        <v>20000</v>
      </c>
      <c r="M6">
        <f t="shared" ref="M6:M11" si="0">L6+(L6*10%)</f>
        <v>22000</v>
      </c>
    </row>
    <row r="7" spans="11:26" x14ac:dyDescent="0.25">
      <c r="K7" t="s">
        <v>2</v>
      </c>
      <c r="L7">
        <f>L5-L6</f>
        <v>30000</v>
      </c>
      <c r="M7">
        <f t="shared" si="0"/>
        <v>33000</v>
      </c>
    </row>
    <row r="8" spans="11:26" x14ac:dyDescent="0.25">
      <c r="K8" t="s">
        <v>3</v>
      </c>
      <c r="L8">
        <v>5000</v>
      </c>
      <c r="M8">
        <f t="shared" si="0"/>
        <v>5500</v>
      </c>
    </row>
    <row r="9" spans="11:26" x14ac:dyDescent="0.25">
      <c r="K9" t="s">
        <v>4</v>
      </c>
      <c r="L9">
        <v>3000</v>
      </c>
      <c r="M9">
        <f t="shared" si="0"/>
        <v>3300</v>
      </c>
    </row>
    <row r="10" spans="11:26" x14ac:dyDescent="0.25">
      <c r="K10" t="s">
        <v>5</v>
      </c>
      <c r="L10">
        <v>2000</v>
      </c>
      <c r="M10">
        <f t="shared" si="0"/>
        <v>2200</v>
      </c>
    </row>
    <row r="11" spans="11:26" x14ac:dyDescent="0.25">
      <c r="K11" t="s">
        <v>6</v>
      </c>
      <c r="L11">
        <f>L7-L8-L9-L10</f>
        <v>20000</v>
      </c>
      <c r="M11">
        <f t="shared" si="0"/>
        <v>22000</v>
      </c>
    </row>
    <row r="22" spans="42:44" x14ac:dyDescent="0.25">
      <c r="AQ22">
        <v>2015</v>
      </c>
      <c r="AR22">
        <v>2016</v>
      </c>
    </row>
    <row r="23" spans="42:44" x14ac:dyDescent="0.25">
      <c r="AP23" t="s">
        <v>0</v>
      </c>
      <c r="AQ23">
        <v>62500</v>
      </c>
      <c r="AR23">
        <v>68750</v>
      </c>
    </row>
    <row r="24" spans="42:44" x14ac:dyDescent="0.25">
      <c r="AP24" t="s">
        <v>1</v>
      </c>
      <c r="AQ24">
        <v>350000</v>
      </c>
      <c r="AR24">
        <v>385000</v>
      </c>
    </row>
    <row r="25" spans="42:44" x14ac:dyDescent="0.25">
      <c r="AP25" t="s">
        <v>2</v>
      </c>
      <c r="AQ25">
        <v>-287500</v>
      </c>
      <c r="AR25">
        <v>-316250</v>
      </c>
    </row>
    <row r="26" spans="42:44" x14ac:dyDescent="0.25">
      <c r="AP26" t="s">
        <v>39</v>
      </c>
      <c r="AQ26">
        <v>12500</v>
      </c>
      <c r="AR26">
        <v>13750</v>
      </c>
    </row>
    <row r="27" spans="42:44" x14ac:dyDescent="0.25">
      <c r="AP27" t="s">
        <v>4</v>
      </c>
      <c r="AQ27">
        <v>36500</v>
      </c>
      <c r="AR27">
        <v>40150</v>
      </c>
    </row>
    <row r="28" spans="42:44" x14ac:dyDescent="0.25">
      <c r="AP28" t="s">
        <v>5</v>
      </c>
      <c r="AQ28">
        <v>12470</v>
      </c>
      <c r="AR28">
        <v>13717</v>
      </c>
    </row>
    <row r="29" spans="42:44" x14ac:dyDescent="0.25">
      <c r="AP29" t="s">
        <v>6</v>
      </c>
      <c r="AQ29">
        <v>-348970</v>
      </c>
      <c r="AR29">
        <v>-383867</v>
      </c>
    </row>
    <row r="56" spans="42:59" x14ac:dyDescent="0.25">
      <c r="BF56">
        <v>2015</v>
      </c>
      <c r="BG56">
        <v>2016</v>
      </c>
    </row>
    <row r="57" spans="42:59" x14ac:dyDescent="0.25">
      <c r="BE57" t="s">
        <v>0</v>
      </c>
      <c r="BF57">
        <v>125000</v>
      </c>
      <c r="BG57">
        <v>137500</v>
      </c>
    </row>
    <row r="58" spans="42:59" x14ac:dyDescent="0.25">
      <c r="BE58" t="s">
        <v>1</v>
      </c>
      <c r="BF58">
        <v>25000</v>
      </c>
      <c r="BG58">
        <v>27500</v>
      </c>
    </row>
    <row r="59" spans="42:59" x14ac:dyDescent="0.25">
      <c r="BE59" t="s">
        <v>2</v>
      </c>
      <c r="BF59">
        <v>100000</v>
      </c>
      <c r="BG59">
        <v>110000</v>
      </c>
    </row>
    <row r="60" spans="42:59" x14ac:dyDescent="0.25">
      <c r="BE60" t="s">
        <v>39</v>
      </c>
      <c r="BF60">
        <v>35000</v>
      </c>
      <c r="BG60">
        <v>38500</v>
      </c>
    </row>
    <row r="61" spans="42:59" x14ac:dyDescent="0.25">
      <c r="BE61" t="s">
        <v>4</v>
      </c>
      <c r="BF61">
        <v>5000</v>
      </c>
      <c r="BG61">
        <v>5500</v>
      </c>
    </row>
    <row r="62" spans="42:59" x14ac:dyDescent="0.25">
      <c r="BE62" t="s">
        <v>5</v>
      </c>
      <c r="BF62">
        <v>3000</v>
      </c>
      <c r="BG62">
        <v>3300</v>
      </c>
    </row>
    <row r="63" spans="42:59" x14ac:dyDescent="0.25">
      <c r="AQ63">
        <v>2015</v>
      </c>
      <c r="AR63">
        <v>2016</v>
      </c>
      <c r="BE63" t="s">
        <v>6</v>
      </c>
      <c r="BF63">
        <v>57000</v>
      </c>
      <c r="BG63">
        <v>62700</v>
      </c>
    </row>
    <row r="64" spans="42:59" x14ac:dyDescent="0.25">
      <c r="AP64" t="s">
        <v>0</v>
      </c>
      <c r="AQ64">
        <v>50000</v>
      </c>
      <c r="AR64">
        <f>AQ64+(AQ64*10%)</f>
        <v>55000</v>
      </c>
    </row>
    <row r="65" spans="42:44" x14ac:dyDescent="0.25">
      <c r="AP65" t="s">
        <v>1</v>
      </c>
      <c r="AQ65">
        <v>20000</v>
      </c>
      <c r="AR65">
        <f t="shared" ref="AR65:AR70" si="1">AQ65+(AQ65*10%)</f>
        <v>22000</v>
      </c>
    </row>
    <row r="66" spans="42:44" x14ac:dyDescent="0.25">
      <c r="AP66" t="s">
        <v>2</v>
      </c>
      <c r="AQ66">
        <f>AQ64-AQ65</f>
        <v>30000</v>
      </c>
      <c r="AR66">
        <f t="shared" si="1"/>
        <v>33000</v>
      </c>
    </row>
    <row r="67" spans="42:44" x14ac:dyDescent="0.25">
      <c r="AP67" t="s">
        <v>3</v>
      </c>
      <c r="AQ67">
        <v>5000</v>
      </c>
      <c r="AR67">
        <f t="shared" si="1"/>
        <v>5500</v>
      </c>
    </row>
    <row r="68" spans="42:44" x14ac:dyDescent="0.25">
      <c r="AP68" t="s">
        <v>4</v>
      </c>
      <c r="AQ68">
        <v>3000</v>
      </c>
      <c r="AR68">
        <f t="shared" si="1"/>
        <v>3300</v>
      </c>
    </row>
    <row r="69" spans="42:44" x14ac:dyDescent="0.25">
      <c r="AP69" t="s">
        <v>5</v>
      </c>
      <c r="AQ69">
        <v>2000</v>
      </c>
      <c r="AR69">
        <f t="shared" si="1"/>
        <v>2200</v>
      </c>
    </row>
    <row r="70" spans="42:44" x14ac:dyDescent="0.25">
      <c r="AP70" t="s">
        <v>6</v>
      </c>
      <c r="AQ70">
        <f>AQ66-AQ67-AQ68-AQ69</f>
        <v>20000</v>
      </c>
      <c r="AR70">
        <f t="shared" si="1"/>
        <v>22000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Z67"/>
  <sheetViews>
    <sheetView zoomScale="160" zoomScaleNormal="160" workbookViewId="0">
      <selection activeCell="C13" sqref="C13"/>
    </sheetView>
  </sheetViews>
  <sheetFormatPr defaultRowHeight="15" x14ac:dyDescent="0.25"/>
  <cols>
    <col min="1" max="1" width="18.140625" customWidth="1"/>
    <col min="2" max="2" width="16.42578125" customWidth="1"/>
    <col min="3" max="3" width="23.28515625" customWidth="1"/>
    <col min="5" max="5" width="12.85546875" customWidth="1"/>
  </cols>
  <sheetData>
    <row r="1" spans="1:26" x14ac:dyDescent="0.25">
      <c r="A1" s="1" t="s">
        <v>7</v>
      </c>
      <c r="B1" s="1"/>
      <c r="X1">
        <v>10</v>
      </c>
      <c r="Y1">
        <v>20</v>
      </c>
      <c r="Z1">
        <v>30</v>
      </c>
    </row>
    <row r="3" spans="1:26" x14ac:dyDescent="0.25">
      <c r="A3" s="1" t="s">
        <v>8</v>
      </c>
      <c r="B3" t="s">
        <v>10</v>
      </c>
    </row>
    <row r="4" spans="1:26" x14ac:dyDescent="0.25">
      <c r="A4" s="1" t="s">
        <v>9</v>
      </c>
      <c r="B4" t="s">
        <v>11</v>
      </c>
    </row>
    <row r="5" spans="1:26" x14ac:dyDescent="0.25">
      <c r="C5" s="3" t="s">
        <v>26</v>
      </c>
    </row>
    <row r="6" spans="1:26" x14ac:dyDescent="0.25">
      <c r="A6" s="2" t="s">
        <v>12</v>
      </c>
      <c r="B6" s="2" t="s">
        <v>13</v>
      </c>
      <c r="C6" s="2" t="s">
        <v>14</v>
      </c>
    </row>
    <row r="7" spans="1:26" x14ac:dyDescent="0.25">
      <c r="A7" s="10" t="s">
        <v>16</v>
      </c>
      <c r="B7" t="s">
        <v>15</v>
      </c>
      <c r="C7" s="10" t="s">
        <v>25</v>
      </c>
      <c r="E7" s="10" t="s">
        <v>27</v>
      </c>
      <c r="F7" s="10" t="s">
        <v>29</v>
      </c>
      <c r="V7" s="10"/>
    </row>
    <row r="8" spans="1:26" x14ac:dyDescent="0.25">
      <c r="A8" t="s">
        <v>17</v>
      </c>
      <c r="B8" t="s">
        <v>22</v>
      </c>
      <c r="C8" t="s">
        <v>22</v>
      </c>
      <c r="E8" s="2" t="s">
        <v>28</v>
      </c>
      <c r="F8" t="s">
        <v>30</v>
      </c>
    </row>
    <row r="9" spans="1:26" x14ac:dyDescent="0.25">
      <c r="A9" t="s">
        <v>19</v>
      </c>
      <c r="B9" t="s">
        <v>18</v>
      </c>
      <c r="C9" t="s">
        <v>18</v>
      </c>
    </row>
    <row r="10" spans="1:26" x14ac:dyDescent="0.25">
      <c r="A10" t="s">
        <v>20</v>
      </c>
      <c r="B10" t="s">
        <v>23</v>
      </c>
      <c r="C10" t="s">
        <v>23</v>
      </c>
      <c r="E10" s="2" t="s">
        <v>37</v>
      </c>
    </row>
    <row r="11" spans="1:26" x14ac:dyDescent="0.25">
      <c r="A11" t="s">
        <v>21</v>
      </c>
      <c r="B11" t="s">
        <v>24</v>
      </c>
      <c r="C11" t="s">
        <v>24</v>
      </c>
    </row>
    <row r="13" spans="1:26" x14ac:dyDescent="0.25">
      <c r="C13" s="10"/>
    </row>
    <row r="14" spans="1:26" x14ac:dyDescent="0.25">
      <c r="A14" s="2" t="s">
        <v>9</v>
      </c>
    </row>
    <row r="15" spans="1:26" x14ac:dyDescent="0.25">
      <c r="A15" t="s">
        <v>31</v>
      </c>
    </row>
    <row r="16" spans="1:26" x14ac:dyDescent="0.25">
      <c r="A16" t="s">
        <v>32</v>
      </c>
    </row>
    <row r="17" spans="1:1" x14ac:dyDescent="0.25">
      <c r="A17" t="s">
        <v>33</v>
      </c>
    </row>
    <row r="18" spans="1:1" x14ac:dyDescent="0.25">
      <c r="A18" t="s">
        <v>34</v>
      </c>
    </row>
    <row r="19" spans="1:1" x14ac:dyDescent="0.25">
      <c r="A19" t="s">
        <v>35</v>
      </c>
    </row>
    <row r="20" spans="1:1" x14ac:dyDescent="0.25">
      <c r="A20" t="s">
        <v>36</v>
      </c>
    </row>
    <row r="22" spans="1:1" x14ac:dyDescent="0.25">
      <c r="A22" t="s">
        <v>38</v>
      </c>
    </row>
    <row r="25" spans="1:1" x14ac:dyDescent="0.25">
      <c r="A25" s="4" t="s">
        <v>40</v>
      </c>
    </row>
    <row r="26" spans="1:1" x14ac:dyDescent="0.25">
      <c r="A26" s="4" t="s">
        <v>41</v>
      </c>
    </row>
    <row r="29" spans="1:1" x14ac:dyDescent="0.25">
      <c r="A29" s="4" t="s">
        <v>42</v>
      </c>
    </row>
    <row r="30" spans="1:1" x14ac:dyDescent="0.25">
      <c r="A30" s="5" t="s">
        <v>43</v>
      </c>
    </row>
    <row r="31" spans="1:1" x14ac:dyDescent="0.25">
      <c r="A31" s="5" t="s">
        <v>44</v>
      </c>
    </row>
    <row r="32" spans="1:1" x14ac:dyDescent="0.25">
      <c r="A32" s="5" t="s">
        <v>45</v>
      </c>
    </row>
    <row r="33" spans="1:3" x14ac:dyDescent="0.25">
      <c r="A33" s="5" t="s">
        <v>46</v>
      </c>
    </row>
    <row r="36" spans="1:3" x14ac:dyDescent="0.25">
      <c r="A36" s="4" t="s">
        <v>47</v>
      </c>
      <c r="B36" s="4"/>
    </row>
    <row r="38" spans="1:3" x14ac:dyDescent="0.25">
      <c r="A38" s="4" t="s">
        <v>48</v>
      </c>
      <c r="B38" s="4" t="s">
        <v>51</v>
      </c>
      <c r="C38" s="4" t="s">
        <v>52</v>
      </c>
    </row>
    <row r="39" spans="1:3" x14ac:dyDescent="0.25">
      <c r="A39" t="s">
        <v>50</v>
      </c>
      <c r="B39" t="s">
        <v>53</v>
      </c>
      <c r="C39" t="s">
        <v>54</v>
      </c>
    </row>
    <row r="41" spans="1:3" x14ac:dyDescent="0.25">
      <c r="A41" t="s">
        <v>55</v>
      </c>
      <c r="B41" t="s">
        <v>56</v>
      </c>
      <c r="C41" t="s">
        <v>57</v>
      </c>
    </row>
    <row r="43" spans="1:3" x14ac:dyDescent="0.25">
      <c r="A43" t="s">
        <v>58</v>
      </c>
      <c r="B43" t="s">
        <v>59</v>
      </c>
      <c r="C43" t="s">
        <v>60</v>
      </c>
    </row>
    <row r="46" spans="1:3" x14ac:dyDescent="0.25">
      <c r="A46" s="4" t="s">
        <v>49</v>
      </c>
      <c r="B46" s="4" t="s">
        <v>51</v>
      </c>
      <c r="C46" s="4" t="s">
        <v>52</v>
      </c>
    </row>
    <row r="48" spans="1:3" x14ac:dyDescent="0.25">
      <c r="A48" t="s">
        <v>61</v>
      </c>
      <c r="B48" t="s">
        <v>62</v>
      </c>
      <c r="C48" t="s">
        <v>57</v>
      </c>
    </row>
    <row r="50" spans="1:2" x14ac:dyDescent="0.25">
      <c r="A50" s="2" t="s">
        <v>63</v>
      </c>
      <c r="B50" s="2"/>
    </row>
    <row r="51" spans="1:2" x14ac:dyDescent="0.25">
      <c r="A51" s="2" t="s">
        <v>64</v>
      </c>
      <c r="B51" s="2"/>
    </row>
    <row r="53" spans="1:2" x14ac:dyDescent="0.25">
      <c r="A53" s="4" t="s">
        <v>65</v>
      </c>
    </row>
    <row r="55" spans="1:2" x14ac:dyDescent="0.25">
      <c r="A55" s="6" t="s">
        <v>66</v>
      </c>
      <c r="B55" s="6" t="s">
        <v>67</v>
      </c>
    </row>
    <row r="57" spans="1:2" x14ac:dyDescent="0.25">
      <c r="A57" s="7" t="s">
        <v>68</v>
      </c>
      <c r="B57" t="s">
        <v>71</v>
      </c>
    </row>
    <row r="58" spans="1:2" x14ac:dyDescent="0.25">
      <c r="A58" t="s">
        <v>69</v>
      </c>
      <c r="B58" t="s">
        <v>72</v>
      </c>
    </row>
    <row r="59" spans="1:2" x14ac:dyDescent="0.25">
      <c r="A59" t="s">
        <v>70</v>
      </c>
    </row>
    <row r="62" spans="1:2" x14ac:dyDescent="0.25">
      <c r="A62" s="4" t="s">
        <v>69</v>
      </c>
      <c r="B62" t="s">
        <v>73</v>
      </c>
    </row>
    <row r="63" spans="1:2" x14ac:dyDescent="0.25">
      <c r="A63" s="4" t="s">
        <v>70</v>
      </c>
      <c r="B63" t="s">
        <v>88</v>
      </c>
    </row>
    <row r="66" spans="1:2" x14ac:dyDescent="0.25">
      <c r="A66" s="4" t="s">
        <v>71</v>
      </c>
      <c r="B66" t="s">
        <v>89</v>
      </c>
    </row>
    <row r="67" spans="1:2" x14ac:dyDescent="0.25">
      <c r="A67" s="4" t="s">
        <v>72</v>
      </c>
      <c r="B67" t="s">
        <v>102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Z9"/>
  <sheetViews>
    <sheetView topLeftCell="T1" zoomScale="205" zoomScaleNormal="205" workbookViewId="0">
      <selection activeCell="Y13" sqref="Y13"/>
    </sheetView>
  </sheetViews>
  <sheetFormatPr defaultRowHeight="15" x14ac:dyDescent="0.25"/>
  <cols>
    <col min="1" max="1" width="13.7109375" bestFit="1" customWidth="1"/>
    <col min="2" max="2" width="6" bestFit="1" customWidth="1"/>
    <col min="9" max="9" width="13.7109375" bestFit="1" customWidth="1"/>
    <col min="10" max="10" width="6" bestFit="1" customWidth="1"/>
    <col min="23" max="23" width="13.7109375" bestFit="1" customWidth="1"/>
    <col min="24" max="25" width="6" bestFit="1" customWidth="1"/>
  </cols>
  <sheetData>
    <row r="1" spans="1:26" x14ac:dyDescent="0.25">
      <c r="X1">
        <v>10</v>
      </c>
      <c r="Y1">
        <v>20</v>
      </c>
      <c r="Z1">
        <v>30</v>
      </c>
    </row>
    <row r="2" spans="1:26" x14ac:dyDescent="0.25">
      <c r="B2">
        <v>2015</v>
      </c>
    </row>
    <row r="3" spans="1:26" x14ac:dyDescent="0.25">
      <c r="A3" t="s">
        <v>0</v>
      </c>
      <c r="B3">
        <v>50000</v>
      </c>
    </row>
    <row r="4" spans="1:26" x14ac:dyDescent="0.25">
      <c r="A4" t="s">
        <v>1</v>
      </c>
      <c r="B4">
        <v>20000</v>
      </c>
    </row>
    <row r="5" spans="1:26" x14ac:dyDescent="0.25">
      <c r="A5" t="s">
        <v>2</v>
      </c>
      <c r="B5">
        <v>30000</v>
      </c>
    </row>
    <row r="6" spans="1:26" x14ac:dyDescent="0.25">
      <c r="A6" t="s">
        <v>4</v>
      </c>
      <c r="B6">
        <v>5000</v>
      </c>
    </row>
    <row r="7" spans="1:26" x14ac:dyDescent="0.25">
      <c r="A7" t="s">
        <v>39</v>
      </c>
      <c r="B7">
        <v>2000</v>
      </c>
    </row>
    <row r="8" spans="1:26" x14ac:dyDescent="0.25">
      <c r="A8" t="s">
        <v>5</v>
      </c>
      <c r="B8">
        <v>3000</v>
      </c>
    </row>
    <row r="9" spans="1:26" x14ac:dyDescent="0.25">
      <c r="A9" t="s">
        <v>6</v>
      </c>
      <c r="B9">
        <v>20000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X1:AD86"/>
  <sheetViews>
    <sheetView topLeftCell="T1" zoomScale="190" zoomScaleNormal="190" workbookViewId="0">
      <selection activeCell="Z1" sqref="Z1"/>
    </sheetView>
  </sheetViews>
  <sheetFormatPr defaultRowHeight="15" x14ac:dyDescent="0.25"/>
  <cols>
    <col min="1" max="1" width="13.7109375" bestFit="1" customWidth="1"/>
  </cols>
  <sheetData>
    <row r="1" spans="24:30" x14ac:dyDescent="0.25">
      <c r="X1">
        <v>10</v>
      </c>
      <c r="Y1">
        <v>20</v>
      </c>
      <c r="Z1">
        <v>30</v>
      </c>
    </row>
    <row r="11" spans="24:30" x14ac:dyDescent="0.25">
      <c r="AD11">
        <v>2015</v>
      </c>
    </row>
    <row r="12" spans="24:30" x14ac:dyDescent="0.25">
      <c r="AC12" t="s">
        <v>0</v>
      </c>
      <c r="AD12">
        <v>50000</v>
      </c>
    </row>
    <row r="13" spans="24:30" x14ac:dyDescent="0.25">
      <c r="AC13" t="s">
        <v>1</v>
      </c>
      <c r="AD13">
        <v>20000</v>
      </c>
    </row>
    <row r="14" spans="24:30" x14ac:dyDescent="0.25">
      <c r="AC14" t="s">
        <v>2</v>
      </c>
      <c r="AD14">
        <v>30000</v>
      </c>
    </row>
    <row r="15" spans="24:30" x14ac:dyDescent="0.25">
      <c r="AC15" t="s">
        <v>39</v>
      </c>
      <c r="AD15">
        <v>5000</v>
      </c>
    </row>
    <row r="16" spans="24:30" x14ac:dyDescent="0.25">
      <c r="AC16" t="s">
        <v>4</v>
      </c>
      <c r="AD16">
        <v>3000</v>
      </c>
    </row>
    <row r="17" spans="29:30" x14ac:dyDescent="0.25">
      <c r="AC17" t="s">
        <v>5</v>
      </c>
      <c r="AD17">
        <v>2000</v>
      </c>
    </row>
    <row r="18" spans="29:30" x14ac:dyDescent="0.25">
      <c r="AC18" t="s">
        <v>6</v>
      </c>
      <c r="AD18">
        <v>20000</v>
      </c>
    </row>
    <row r="79" spans="29:30" x14ac:dyDescent="0.25">
      <c r="AD79">
        <v>2015</v>
      </c>
    </row>
    <row r="80" spans="29:30" x14ac:dyDescent="0.25">
      <c r="AC80" t="s">
        <v>0</v>
      </c>
      <c r="AD80">
        <v>50000</v>
      </c>
    </row>
    <row r="81" spans="29:30" x14ac:dyDescent="0.25">
      <c r="AC81" t="s">
        <v>1</v>
      </c>
      <c r="AD81">
        <v>20000</v>
      </c>
    </row>
    <row r="82" spans="29:30" x14ac:dyDescent="0.25">
      <c r="AC82" t="s">
        <v>2</v>
      </c>
      <c r="AD82">
        <v>30000</v>
      </c>
    </row>
    <row r="83" spans="29:30" x14ac:dyDescent="0.25">
      <c r="AC83" t="s">
        <v>39</v>
      </c>
      <c r="AD83">
        <v>5000</v>
      </c>
    </row>
    <row r="84" spans="29:30" x14ac:dyDescent="0.25">
      <c r="AC84" t="s">
        <v>4</v>
      </c>
      <c r="AD84">
        <v>3000</v>
      </c>
    </row>
    <row r="85" spans="29:30" x14ac:dyDescent="0.25">
      <c r="AC85" t="s">
        <v>5</v>
      </c>
      <c r="AD85">
        <v>2000</v>
      </c>
    </row>
    <row r="86" spans="29:30" x14ac:dyDescent="0.25">
      <c r="AC86" t="s">
        <v>6</v>
      </c>
      <c r="AD86">
        <v>20000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Z10"/>
  <sheetViews>
    <sheetView zoomScale="160" zoomScaleNormal="160" workbookViewId="0">
      <selection sqref="A1:Z10"/>
    </sheetView>
  </sheetViews>
  <sheetFormatPr defaultRowHeight="15" x14ac:dyDescent="0.25"/>
  <cols>
    <col min="1" max="6" width="4.5703125" customWidth="1"/>
  </cols>
  <sheetData>
    <row r="1" spans="1:26" x14ac:dyDescent="0.25">
      <c r="A1">
        <v>10</v>
      </c>
      <c r="B1">
        <v>10</v>
      </c>
      <c r="E1">
        <v>10</v>
      </c>
      <c r="F1">
        <v>10</v>
      </c>
      <c r="X1">
        <v>10</v>
      </c>
      <c r="Y1">
        <v>20</v>
      </c>
      <c r="Z1">
        <v>30</v>
      </c>
    </row>
    <row r="2" spans="1:2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2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26" x14ac:dyDescent="0.25">
      <c r="A4">
        <v>40</v>
      </c>
      <c r="B4">
        <v>40</v>
      </c>
      <c r="C4">
        <v>40</v>
      </c>
      <c r="D4">
        <v>40</v>
      </c>
      <c r="E4">
        <v>40</v>
      </c>
      <c r="F4">
        <v>40</v>
      </c>
    </row>
    <row r="5" spans="1:26" x14ac:dyDescent="0.25">
      <c r="B5">
        <v>50</v>
      </c>
      <c r="C5">
        <v>50</v>
      </c>
      <c r="D5">
        <v>50</v>
      </c>
      <c r="E5">
        <v>50</v>
      </c>
    </row>
    <row r="6" spans="1:26" x14ac:dyDescent="0.25">
      <c r="B6">
        <v>60</v>
      </c>
      <c r="E6">
        <v>60</v>
      </c>
    </row>
    <row r="7" spans="1:26" x14ac:dyDescent="0.25">
      <c r="A7">
        <v>70</v>
      </c>
      <c r="B7">
        <v>70</v>
      </c>
      <c r="C7">
        <v>70</v>
      </c>
      <c r="D7">
        <v>70</v>
      </c>
      <c r="E7">
        <v>70</v>
      </c>
    </row>
    <row r="8" spans="1:26" x14ac:dyDescent="0.25">
      <c r="A8">
        <v>80</v>
      </c>
      <c r="B8">
        <v>80</v>
      </c>
      <c r="C8">
        <v>80</v>
      </c>
      <c r="D8">
        <v>80</v>
      </c>
      <c r="E8">
        <v>80</v>
      </c>
      <c r="F8">
        <v>80</v>
      </c>
    </row>
    <row r="9" spans="1:2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26" x14ac:dyDescent="0.25">
      <c r="A10">
        <v>100</v>
      </c>
      <c r="B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Z10"/>
  <sheetViews>
    <sheetView zoomScale="160" zoomScaleNormal="160" workbookViewId="0">
      <selection sqref="A1:Z10"/>
    </sheetView>
  </sheetViews>
  <sheetFormatPr defaultRowHeight="15" x14ac:dyDescent="0.25"/>
  <cols>
    <col min="1" max="6" width="4.5703125" customWidth="1"/>
  </cols>
  <sheetData>
    <row r="1" spans="1:26" x14ac:dyDescent="0.25">
      <c r="A1">
        <v>10</v>
      </c>
      <c r="B1">
        <v>10</v>
      </c>
      <c r="E1">
        <v>10</v>
      </c>
      <c r="F1">
        <v>10</v>
      </c>
      <c r="X1">
        <v>10</v>
      </c>
      <c r="Y1">
        <v>20</v>
      </c>
      <c r="Z1">
        <v>30</v>
      </c>
    </row>
    <row r="2" spans="1:2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2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26" x14ac:dyDescent="0.25">
      <c r="A4">
        <v>40</v>
      </c>
      <c r="B4">
        <v>40</v>
      </c>
      <c r="C4">
        <v>40</v>
      </c>
      <c r="D4">
        <v>40</v>
      </c>
      <c r="E4">
        <v>40</v>
      </c>
      <c r="F4">
        <v>40</v>
      </c>
    </row>
    <row r="5" spans="1:26" x14ac:dyDescent="0.25">
      <c r="B5">
        <v>50</v>
      </c>
      <c r="C5">
        <v>50</v>
      </c>
      <c r="D5">
        <v>50</v>
      </c>
      <c r="E5">
        <v>50</v>
      </c>
    </row>
    <row r="6" spans="1:26" x14ac:dyDescent="0.25">
      <c r="B6">
        <v>60</v>
      </c>
      <c r="E6">
        <v>60</v>
      </c>
    </row>
    <row r="7" spans="1:26" x14ac:dyDescent="0.25">
      <c r="A7">
        <v>70</v>
      </c>
      <c r="B7">
        <v>70</v>
      </c>
      <c r="C7">
        <v>70</v>
      </c>
      <c r="D7">
        <v>70</v>
      </c>
      <c r="E7">
        <v>70</v>
      </c>
    </row>
    <row r="8" spans="1:26" x14ac:dyDescent="0.25">
      <c r="A8">
        <v>80</v>
      </c>
      <c r="B8">
        <v>80</v>
      </c>
      <c r="C8">
        <v>80</v>
      </c>
      <c r="D8">
        <v>80</v>
      </c>
      <c r="E8">
        <v>80</v>
      </c>
      <c r="F8">
        <v>80</v>
      </c>
    </row>
    <row r="9" spans="1:2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26" x14ac:dyDescent="0.25">
      <c r="A10">
        <v>100</v>
      </c>
      <c r="B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Z10"/>
  <sheetViews>
    <sheetView zoomScale="160" zoomScaleNormal="160" workbookViewId="0">
      <selection sqref="A1:Z10"/>
    </sheetView>
  </sheetViews>
  <sheetFormatPr defaultRowHeight="15" x14ac:dyDescent="0.25"/>
  <cols>
    <col min="1" max="6" width="4.5703125" customWidth="1"/>
  </cols>
  <sheetData>
    <row r="1" spans="1:26" x14ac:dyDescent="0.25">
      <c r="A1">
        <v>10</v>
      </c>
      <c r="B1">
        <v>10</v>
      </c>
      <c r="C1">
        <v>10</v>
      </c>
      <c r="F1">
        <v>10</v>
      </c>
      <c r="X1">
        <v>10</v>
      </c>
      <c r="Y1">
        <v>20</v>
      </c>
      <c r="Z1">
        <v>30</v>
      </c>
    </row>
    <row r="2" spans="1:26" x14ac:dyDescent="0.25">
      <c r="A2">
        <v>20</v>
      </c>
      <c r="B2">
        <v>20</v>
      </c>
      <c r="C2">
        <v>20</v>
      </c>
      <c r="D2">
        <v>20</v>
      </c>
      <c r="E2">
        <v>20</v>
      </c>
      <c r="F2">
        <v>20</v>
      </c>
    </row>
    <row r="3" spans="1:26" x14ac:dyDescent="0.25">
      <c r="A3">
        <v>30</v>
      </c>
      <c r="B3">
        <v>30</v>
      </c>
      <c r="C3">
        <v>30</v>
      </c>
      <c r="D3">
        <v>30</v>
      </c>
      <c r="E3">
        <v>30</v>
      </c>
      <c r="F3">
        <v>30</v>
      </c>
    </row>
    <row r="4" spans="1:26" x14ac:dyDescent="0.25">
      <c r="B4">
        <v>40</v>
      </c>
      <c r="C4">
        <v>40</v>
      </c>
      <c r="D4">
        <v>40</v>
      </c>
      <c r="E4">
        <v>40</v>
      </c>
    </row>
    <row r="5" spans="1:26" x14ac:dyDescent="0.25">
      <c r="B5">
        <v>50</v>
      </c>
      <c r="C5">
        <v>50</v>
      </c>
      <c r="D5">
        <v>50</v>
      </c>
      <c r="E5">
        <v>50</v>
      </c>
    </row>
    <row r="6" spans="1:26" x14ac:dyDescent="0.25">
      <c r="B6">
        <v>60</v>
      </c>
      <c r="C6">
        <v>60</v>
      </c>
      <c r="D6">
        <v>60</v>
      </c>
      <c r="E6">
        <v>60</v>
      </c>
    </row>
    <row r="7" spans="1:26" x14ac:dyDescent="0.25">
      <c r="A7">
        <v>70</v>
      </c>
      <c r="B7">
        <v>70</v>
      </c>
      <c r="C7">
        <v>70</v>
      </c>
      <c r="D7">
        <v>70</v>
      </c>
      <c r="E7">
        <v>70</v>
      </c>
      <c r="F7">
        <v>70</v>
      </c>
    </row>
    <row r="8" spans="1:26" x14ac:dyDescent="0.25">
      <c r="A8">
        <v>80</v>
      </c>
      <c r="B8">
        <v>80</v>
      </c>
      <c r="C8">
        <v>80</v>
      </c>
      <c r="D8">
        <v>80</v>
      </c>
      <c r="E8">
        <v>80</v>
      </c>
      <c r="F8">
        <v>80</v>
      </c>
    </row>
    <row r="9" spans="1:26" x14ac:dyDescent="0.25">
      <c r="A9">
        <v>90</v>
      </c>
      <c r="B9">
        <v>90</v>
      </c>
      <c r="C9">
        <v>90</v>
      </c>
      <c r="D9">
        <v>90</v>
      </c>
      <c r="E9">
        <v>90</v>
      </c>
      <c r="F9">
        <v>90</v>
      </c>
    </row>
    <row r="10" spans="1:26" x14ac:dyDescent="0.25">
      <c r="A10">
        <v>100</v>
      </c>
      <c r="B10">
        <v>100</v>
      </c>
      <c r="E10">
        <v>100</v>
      </c>
      <c r="F10">
        <v>100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tabSelected="1" topLeftCell="A16" zoomScale="175" zoomScaleNormal="175" workbookViewId="0">
      <selection activeCell="B18" sqref="B18"/>
    </sheetView>
  </sheetViews>
  <sheetFormatPr defaultRowHeight="15" x14ac:dyDescent="0.25"/>
  <cols>
    <col min="1" max="6" width="4.140625" bestFit="1" customWidth="1"/>
    <col min="7" max="8" width="3.85546875" customWidth="1"/>
  </cols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Z9"/>
  <sheetViews>
    <sheetView topLeftCell="T1" zoomScale="190" zoomScaleNormal="190" workbookViewId="0">
      <selection activeCell="Z1" sqref="Z1"/>
    </sheetView>
  </sheetViews>
  <sheetFormatPr defaultRowHeight="15" x14ac:dyDescent="0.25"/>
  <sheetData>
    <row r="1" spans="1:26" x14ac:dyDescent="0.25">
      <c r="X1">
        <v>10</v>
      </c>
      <c r="Y1">
        <v>20</v>
      </c>
      <c r="Z1">
        <v>30</v>
      </c>
    </row>
    <row r="2" spans="1:26" x14ac:dyDescent="0.25">
      <c r="B2">
        <v>2015</v>
      </c>
    </row>
    <row r="3" spans="1:26" x14ac:dyDescent="0.25">
      <c r="A3" t="s">
        <v>0</v>
      </c>
      <c r="B3">
        <v>90000</v>
      </c>
    </row>
    <row r="4" spans="1:26" x14ac:dyDescent="0.25">
      <c r="A4" t="s">
        <v>1</v>
      </c>
      <c r="B4">
        <v>31000</v>
      </c>
    </row>
    <row r="5" spans="1:26" x14ac:dyDescent="0.25">
      <c r="A5" t="s">
        <v>2</v>
      </c>
      <c r="B5">
        <v>59000</v>
      </c>
    </row>
    <row r="6" spans="1:26" x14ac:dyDescent="0.25">
      <c r="A6" t="s">
        <v>4</v>
      </c>
      <c r="B6">
        <v>5000</v>
      </c>
    </row>
    <row r="7" spans="1:26" x14ac:dyDescent="0.25">
      <c r="A7" t="s">
        <v>39</v>
      </c>
      <c r="B7">
        <v>2000</v>
      </c>
    </row>
    <row r="8" spans="1:26" x14ac:dyDescent="0.25">
      <c r="A8" t="s">
        <v>5</v>
      </c>
      <c r="B8">
        <v>3000</v>
      </c>
    </row>
    <row r="9" spans="1:26" x14ac:dyDescent="0.25">
      <c r="A9" t="s">
        <v>6</v>
      </c>
      <c r="B9">
        <v>49000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Z24"/>
  <sheetViews>
    <sheetView topLeftCell="T1" zoomScale="190" zoomScaleNormal="190" workbookViewId="0">
      <selection activeCell="Z1" sqref="Z1"/>
    </sheetView>
  </sheetViews>
  <sheetFormatPr defaultRowHeight="15" x14ac:dyDescent="0.25"/>
  <cols>
    <col min="1" max="1" width="5.42578125" customWidth="1"/>
    <col min="2" max="2" width="6.5703125" customWidth="1"/>
    <col min="3" max="3" width="8" customWidth="1"/>
    <col min="4" max="4" width="8.42578125" customWidth="1"/>
    <col min="5" max="5" width="3.28515625" customWidth="1"/>
  </cols>
  <sheetData>
    <row r="1" spans="1:26" x14ac:dyDescent="0.25">
      <c r="A1" s="4" t="s">
        <v>74</v>
      </c>
      <c r="B1" s="4" t="s">
        <v>75</v>
      </c>
      <c r="C1" s="4" t="s">
        <v>76</v>
      </c>
      <c r="X1">
        <v>10</v>
      </c>
      <c r="Y1">
        <v>20</v>
      </c>
      <c r="Z1">
        <v>30</v>
      </c>
    </row>
    <row r="2" spans="1:26" x14ac:dyDescent="0.25">
      <c r="A2" t="s">
        <v>77</v>
      </c>
      <c r="B2">
        <v>25</v>
      </c>
      <c r="C2" t="s">
        <v>86</v>
      </c>
    </row>
    <row r="3" spans="1:26" x14ac:dyDescent="0.25">
      <c r="A3" t="s">
        <v>78</v>
      </c>
      <c r="B3">
        <v>36</v>
      </c>
      <c r="C3" t="s">
        <v>86</v>
      </c>
      <c r="F3" t="s">
        <v>90</v>
      </c>
    </row>
    <row r="4" spans="1:26" x14ac:dyDescent="0.25">
      <c r="A4" t="s">
        <v>79</v>
      </c>
      <c r="B4">
        <v>98</v>
      </c>
      <c r="C4" t="s">
        <v>87</v>
      </c>
      <c r="F4" t="s">
        <v>91</v>
      </c>
    </row>
    <row r="5" spans="1:26" x14ac:dyDescent="0.25">
      <c r="A5" t="s">
        <v>80</v>
      </c>
      <c r="B5">
        <v>74</v>
      </c>
      <c r="C5" t="s">
        <v>87</v>
      </c>
      <c r="E5" t="s">
        <v>92</v>
      </c>
    </row>
    <row r="6" spans="1:26" x14ac:dyDescent="0.25">
      <c r="A6" t="s">
        <v>81</v>
      </c>
      <c r="B6">
        <v>12</v>
      </c>
      <c r="C6" t="s">
        <v>86</v>
      </c>
    </row>
    <row r="7" spans="1:26" x14ac:dyDescent="0.25">
      <c r="A7" t="s">
        <v>82</v>
      </c>
      <c r="B7">
        <v>36</v>
      </c>
      <c r="C7" t="s">
        <v>86</v>
      </c>
      <c r="E7" t="s">
        <v>93</v>
      </c>
    </row>
    <row r="8" spans="1:26" x14ac:dyDescent="0.25">
      <c r="A8" t="s">
        <v>83</v>
      </c>
      <c r="B8">
        <v>94</v>
      </c>
      <c r="C8" t="s">
        <v>87</v>
      </c>
    </row>
    <row r="9" spans="1:26" x14ac:dyDescent="0.25">
      <c r="A9" t="s">
        <v>84</v>
      </c>
      <c r="B9">
        <v>76</v>
      </c>
      <c r="C9" t="s">
        <v>87</v>
      </c>
    </row>
    <row r="10" spans="1:26" x14ac:dyDescent="0.25">
      <c r="A10" t="s">
        <v>85</v>
      </c>
      <c r="B10">
        <v>58</v>
      </c>
      <c r="C10" t="s">
        <v>87</v>
      </c>
    </row>
    <row r="15" spans="1:26" x14ac:dyDescent="0.25">
      <c r="A15" s="4" t="s">
        <v>74</v>
      </c>
      <c r="B15" s="4" t="s">
        <v>75</v>
      </c>
      <c r="C15" s="4" t="s">
        <v>94</v>
      </c>
      <c r="D15" s="4" t="s">
        <v>95</v>
      </c>
      <c r="F15" s="4"/>
      <c r="G15" s="4"/>
      <c r="H15" s="4"/>
    </row>
    <row r="16" spans="1:26" x14ac:dyDescent="0.25">
      <c r="A16" t="s">
        <v>77</v>
      </c>
      <c r="B16">
        <v>25</v>
      </c>
      <c r="C16" t="s">
        <v>86</v>
      </c>
      <c r="D16" s="10"/>
      <c r="F16" t="s">
        <v>96</v>
      </c>
      <c r="G16" t="s">
        <v>77</v>
      </c>
      <c r="H16" s="8"/>
    </row>
    <row r="17" spans="1:8" x14ac:dyDescent="0.25">
      <c r="A17" t="s">
        <v>78</v>
      </c>
      <c r="B17">
        <v>36</v>
      </c>
      <c r="C17" t="s">
        <v>86</v>
      </c>
      <c r="D17" s="10"/>
      <c r="F17" t="s">
        <v>97</v>
      </c>
      <c r="G17" t="s">
        <v>78</v>
      </c>
      <c r="H17" s="4"/>
    </row>
    <row r="18" spans="1:8" x14ac:dyDescent="0.25">
      <c r="A18" t="s">
        <v>79</v>
      </c>
      <c r="B18">
        <v>98</v>
      </c>
      <c r="C18" t="s">
        <v>77</v>
      </c>
      <c r="D18" s="11"/>
      <c r="F18" t="s">
        <v>98</v>
      </c>
      <c r="G18" t="s">
        <v>79</v>
      </c>
      <c r="H18" s="9"/>
    </row>
    <row r="19" spans="1:8" x14ac:dyDescent="0.25">
      <c r="A19" t="s">
        <v>80</v>
      </c>
      <c r="B19">
        <v>74</v>
      </c>
      <c r="C19" t="s">
        <v>78</v>
      </c>
      <c r="D19" s="4"/>
      <c r="F19" t="s">
        <v>99</v>
      </c>
      <c r="G19" t="s">
        <v>80</v>
      </c>
      <c r="H19" s="10"/>
    </row>
    <row r="20" spans="1:8" x14ac:dyDescent="0.25">
      <c r="A20" t="s">
        <v>81</v>
      </c>
      <c r="B20">
        <v>12</v>
      </c>
      <c r="C20" t="s">
        <v>86</v>
      </c>
      <c r="D20" s="10"/>
      <c r="F20" t="s">
        <v>100</v>
      </c>
      <c r="G20" t="s">
        <v>86</v>
      </c>
      <c r="H20" s="10"/>
    </row>
    <row r="21" spans="1:8" x14ac:dyDescent="0.25">
      <c r="A21" t="s">
        <v>82</v>
      </c>
      <c r="B21">
        <v>36</v>
      </c>
      <c r="C21" t="s">
        <v>86</v>
      </c>
      <c r="D21" s="10"/>
    </row>
    <row r="22" spans="1:8" x14ac:dyDescent="0.25">
      <c r="A22" t="s">
        <v>83</v>
      </c>
      <c r="B22">
        <v>94</v>
      </c>
      <c r="C22" t="s">
        <v>77</v>
      </c>
      <c r="D22" s="11"/>
      <c r="F22" t="s">
        <v>101</v>
      </c>
    </row>
    <row r="23" spans="1:8" x14ac:dyDescent="0.25">
      <c r="A23" t="s">
        <v>84</v>
      </c>
      <c r="B23">
        <v>76</v>
      </c>
      <c r="C23" t="s">
        <v>78</v>
      </c>
      <c r="D23" s="4"/>
    </row>
    <row r="24" spans="1:8" x14ac:dyDescent="0.25">
      <c r="A24" t="s">
        <v>85</v>
      </c>
      <c r="B24">
        <v>58</v>
      </c>
      <c r="C24" t="s">
        <v>80</v>
      </c>
      <c r="D24" s="10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Z11"/>
  <sheetViews>
    <sheetView topLeftCell="T1" zoomScale="200" zoomScaleNormal="200" workbookViewId="0">
      <selection activeCell="Z1" sqref="Z1"/>
    </sheetView>
  </sheetViews>
  <sheetFormatPr defaultRowHeight="15" x14ac:dyDescent="0.25"/>
  <sheetData>
    <row r="1" spans="1:26" x14ac:dyDescent="0.25">
      <c r="A1">
        <v>100</v>
      </c>
      <c r="X1">
        <v>10</v>
      </c>
      <c r="Y1">
        <v>20</v>
      </c>
      <c r="Z1">
        <v>30</v>
      </c>
    </row>
    <row r="2" spans="1:26" x14ac:dyDescent="0.25">
      <c r="A2">
        <v>200</v>
      </c>
    </row>
    <row r="3" spans="1:26" x14ac:dyDescent="0.25">
      <c r="A3">
        <v>300</v>
      </c>
    </row>
    <row r="4" spans="1:26" x14ac:dyDescent="0.25">
      <c r="A4">
        <v>400</v>
      </c>
    </row>
    <row r="5" spans="1:26" x14ac:dyDescent="0.25">
      <c r="A5">
        <v>500</v>
      </c>
    </row>
    <row r="6" spans="1:26" x14ac:dyDescent="0.25">
      <c r="A6">
        <v>600</v>
      </c>
    </row>
    <row r="7" spans="1:26" x14ac:dyDescent="0.25">
      <c r="A7">
        <v>700</v>
      </c>
    </row>
    <row r="8" spans="1:26" x14ac:dyDescent="0.25">
      <c r="A8">
        <v>800</v>
      </c>
    </row>
    <row r="9" spans="1:26" x14ac:dyDescent="0.25">
      <c r="A9">
        <v>900</v>
      </c>
    </row>
    <row r="10" spans="1:26" x14ac:dyDescent="0.25">
      <c r="A10">
        <v>1000</v>
      </c>
    </row>
    <row r="11" spans="1:26" x14ac:dyDescent="0.25">
      <c r="A11">
        <v>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Z11"/>
  <sheetViews>
    <sheetView topLeftCell="O1" workbookViewId="0">
      <selection activeCell="Z1" sqref="Z1"/>
    </sheetView>
  </sheetViews>
  <sheetFormatPr defaultRowHeight="15" x14ac:dyDescent="0.25"/>
  <sheetData>
    <row r="1" spans="1:26" x14ac:dyDescent="0.25">
      <c r="A1">
        <v>500</v>
      </c>
      <c r="X1">
        <v>10</v>
      </c>
      <c r="Y1">
        <v>20</v>
      </c>
      <c r="Z1">
        <v>30</v>
      </c>
    </row>
    <row r="2" spans="1:26" x14ac:dyDescent="0.25">
      <c r="A2">
        <v>1000</v>
      </c>
    </row>
    <row r="3" spans="1:26" x14ac:dyDescent="0.25">
      <c r="A3">
        <v>1500</v>
      </c>
    </row>
    <row r="4" spans="1:26" x14ac:dyDescent="0.25">
      <c r="A4">
        <v>2000</v>
      </c>
    </row>
    <row r="5" spans="1:26" x14ac:dyDescent="0.25">
      <c r="A5">
        <v>2500</v>
      </c>
    </row>
    <row r="6" spans="1:26" x14ac:dyDescent="0.25">
      <c r="A6">
        <v>3000</v>
      </c>
    </row>
    <row r="7" spans="1:26" x14ac:dyDescent="0.25">
      <c r="A7">
        <v>3500</v>
      </c>
    </row>
    <row r="8" spans="1:26" x14ac:dyDescent="0.25">
      <c r="A8">
        <v>4000</v>
      </c>
    </row>
    <row r="9" spans="1:26" x14ac:dyDescent="0.25">
      <c r="A9">
        <v>4500</v>
      </c>
    </row>
    <row r="10" spans="1:26" x14ac:dyDescent="0.25">
      <c r="A10">
        <v>5000</v>
      </c>
    </row>
    <row r="11" spans="1:26" x14ac:dyDescent="0.25">
      <c r="A11">
        <v>5500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X1:Z1"/>
  <sheetViews>
    <sheetView topLeftCell="O1" workbookViewId="0">
      <selection activeCell="Z1" sqref="Z1"/>
    </sheetView>
  </sheetViews>
  <sheetFormatPr defaultRowHeight="15" x14ac:dyDescent="0.25"/>
  <sheetData>
    <row r="1" spans="24:26" x14ac:dyDescent="0.25">
      <c r="X1">
        <v>10</v>
      </c>
      <c r="Y1">
        <v>20</v>
      </c>
      <c r="Z1">
        <v>30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X1:Z1"/>
  <sheetViews>
    <sheetView topLeftCell="O1" workbookViewId="0">
      <selection activeCell="Z1" sqref="Z1"/>
    </sheetView>
  </sheetViews>
  <sheetFormatPr defaultRowHeight="15" x14ac:dyDescent="0.25"/>
  <sheetData>
    <row r="1" spans="24:26" x14ac:dyDescent="0.25">
      <c r="X1">
        <v>10</v>
      </c>
      <c r="Y1">
        <v>20</v>
      </c>
      <c r="Z1">
        <v>30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/>
  <dimension ref="X1:Z1"/>
  <sheetViews>
    <sheetView topLeftCell="O1" zoomScale="205" zoomScaleNormal="205" workbookViewId="0">
      <selection activeCell="V6" sqref="V6"/>
    </sheetView>
  </sheetViews>
  <sheetFormatPr defaultRowHeight="15" x14ac:dyDescent="0.25"/>
  <sheetData>
    <row r="1" spans="24:26" x14ac:dyDescent="0.25">
      <c r="X1">
        <v>10</v>
      </c>
      <c r="Y1">
        <v>20</v>
      </c>
      <c r="Z1">
        <v>30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/>
  <dimension ref="A1:B15"/>
  <sheetViews>
    <sheetView topLeftCell="A9" zoomScale="190" zoomScaleNormal="190" workbookViewId="0">
      <selection activeCell="C16" sqref="C16"/>
    </sheetView>
  </sheetViews>
  <sheetFormatPr defaultRowHeight="15" x14ac:dyDescent="0.25"/>
  <sheetData>
    <row r="1" spans="1:2" x14ac:dyDescent="0.25">
      <c r="A1" t="s">
        <v>103</v>
      </c>
      <c r="B1" t="s">
        <v>77</v>
      </c>
    </row>
    <row r="2" spans="1:2" x14ac:dyDescent="0.25">
      <c r="A2" t="s">
        <v>104</v>
      </c>
      <c r="B2" t="s">
        <v>78</v>
      </c>
    </row>
    <row r="3" spans="1:2" x14ac:dyDescent="0.25">
      <c r="A3" t="s">
        <v>105</v>
      </c>
      <c r="B3" t="s">
        <v>79</v>
      </c>
    </row>
    <row r="4" spans="1:2" x14ac:dyDescent="0.25">
      <c r="A4" t="s">
        <v>106</v>
      </c>
      <c r="B4" t="s">
        <v>80</v>
      </c>
    </row>
    <row r="5" spans="1:2" x14ac:dyDescent="0.25">
      <c r="A5" t="s">
        <v>107</v>
      </c>
      <c r="B5" t="s">
        <v>81</v>
      </c>
    </row>
    <row r="6" spans="1:2" x14ac:dyDescent="0.25">
      <c r="A6" t="s">
        <v>108</v>
      </c>
      <c r="B6" t="s">
        <v>82</v>
      </c>
    </row>
    <row r="7" spans="1:2" x14ac:dyDescent="0.25">
      <c r="A7" t="s">
        <v>109</v>
      </c>
      <c r="B7" t="s">
        <v>83</v>
      </c>
    </row>
    <row r="8" spans="1:2" x14ac:dyDescent="0.25">
      <c r="A8" t="s">
        <v>110</v>
      </c>
      <c r="B8" t="s">
        <v>84</v>
      </c>
    </row>
    <row r="9" spans="1:2" x14ac:dyDescent="0.25">
      <c r="A9" t="s">
        <v>111</v>
      </c>
      <c r="B9" t="s">
        <v>85</v>
      </c>
    </row>
    <row r="10" spans="1:2" x14ac:dyDescent="0.25">
      <c r="A10" t="s">
        <v>112</v>
      </c>
      <c r="B10" t="s">
        <v>118</v>
      </c>
    </row>
    <row r="11" spans="1:2" x14ac:dyDescent="0.25">
      <c r="A11" t="s">
        <v>113</v>
      </c>
      <c r="B11" t="s">
        <v>119</v>
      </c>
    </row>
    <row r="12" spans="1:2" x14ac:dyDescent="0.25">
      <c r="A12" t="s">
        <v>114</v>
      </c>
      <c r="B12" t="s">
        <v>120</v>
      </c>
    </row>
    <row r="13" spans="1:2" x14ac:dyDescent="0.25">
      <c r="A13" t="s">
        <v>115</v>
      </c>
      <c r="B13" t="s">
        <v>121</v>
      </c>
    </row>
    <row r="14" spans="1:2" x14ac:dyDescent="0.25">
      <c r="A14" t="s">
        <v>116</v>
      </c>
      <c r="B14" t="s">
        <v>122</v>
      </c>
    </row>
    <row r="15" spans="1:2" x14ac:dyDescent="0.25">
      <c r="A15" t="s">
        <v>117</v>
      </c>
      <c r="B15" t="s">
        <v>123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A1:G70"/>
  <sheetViews>
    <sheetView topLeftCell="A60" zoomScale="160" zoomScaleNormal="160" workbookViewId="0">
      <selection activeCell="D72" sqref="D72"/>
    </sheetView>
  </sheetViews>
  <sheetFormatPr defaultRowHeight="15" x14ac:dyDescent="0.25"/>
  <cols>
    <col min="1" max="1" width="7.28515625" customWidth="1"/>
    <col min="2" max="2" width="7.28515625" bestFit="1" customWidth="1"/>
    <col min="3" max="3" width="8.5703125" customWidth="1"/>
    <col min="4" max="4" width="6.7109375" customWidth="1"/>
    <col min="5" max="5" width="5.42578125" bestFit="1" customWidth="1"/>
    <col min="6" max="6" width="9.85546875" customWidth="1"/>
    <col min="7" max="7" width="5.42578125" bestFit="1" customWidth="1"/>
  </cols>
  <sheetData>
    <row r="1" spans="1:5" x14ac:dyDescent="0.25">
      <c r="A1" s="12" t="s">
        <v>124</v>
      </c>
      <c r="B1" s="12" t="s">
        <v>125</v>
      </c>
      <c r="C1" s="12" t="s">
        <v>126</v>
      </c>
    </row>
    <row r="2" spans="1:5" x14ac:dyDescent="0.25">
      <c r="A2">
        <v>25</v>
      </c>
      <c r="B2">
        <v>9</v>
      </c>
      <c r="C2">
        <f t="shared" ref="C2:C11" si="0">SUM(A2:B2)</f>
        <v>34</v>
      </c>
    </row>
    <row r="3" spans="1:5" x14ac:dyDescent="0.25">
      <c r="A3">
        <v>36</v>
      </c>
      <c r="B3">
        <v>3</v>
      </c>
      <c r="C3">
        <f t="shared" si="0"/>
        <v>39</v>
      </c>
    </row>
    <row r="4" spans="1:5" x14ac:dyDescent="0.25">
      <c r="B4">
        <v>6</v>
      </c>
      <c r="C4">
        <f t="shared" si="0"/>
        <v>6</v>
      </c>
    </row>
    <row r="5" spans="1:5" x14ac:dyDescent="0.25">
      <c r="A5">
        <v>98</v>
      </c>
      <c r="B5">
        <v>36</v>
      </c>
      <c r="C5">
        <f t="shared" si="0"/>
        <v>134</v>
      </c>
    </row>
    <row r="6" spans="1:5" x14ac:dyDescent="0.25">
      <c r="A6">
        <v>7</v>
      </c>
      <c r="C6">
        <f t="shared" si="0"/>
        <v>7</v>
      </c>
    </row>
    <row r="7" spans="1:5" x14ac:dyDescent="0.25">
      <c r="A7">
        <v>5</v>
      </c>
      <c r="B7">
        <v>96</v>
      </c>
      <c r="C7">
        <f t="shared" si="0"/>
        <v>101</v>
      </c>
    </row>
    <row r="8" spans="1:5" x14ac:dyDescent="0.25">
      <c r="B8">
        <v>45</v>
      </c>
      <c r="C8">
        <f t="shared" si="0"/>
        <v>45</v>
      </c>
    </row>
    <row r="9" spans="1:5" x14ac:dyDescent="0.25">
      <c r="A9">
        <v>25</v>
      </c>
      <c r="B9">
        <v>15</v>
      </c>
      <c r="C9">
        <f t="shared" si="0"/>
        <v>40</v>
      </c>
    </row>
    <row r="10" spans="1:5" x14ac:dyDescent="0.25">
      <c r="A10">
        <v>12</v>
      </c>
      <c r="C10">
        <f t="shared" si="0"/>
        <v>12</v>
      </c>
    </row>
    <row r="11" spans="1:5" x14ac:dyDescent="0.25">
      <c r="A11">
        <v>36</v>
      </c>
      <c r="B11">
        <v>33</v>
      </c>
      <c r="C11">
        <f t="shared" si="0"/>
        <v>69</v>
      </c>
    </row>
    <row r="14" spans="1:5" x14ac:dyDescent="0.25">
      <c r="A14" s="4" t="s">
        <v>127</v>
      </c>
      <c r="B14" s="13" t="s">
        <v>128</v>
      </c>
      <c r="D14" s="13" t="s">
        <v>127</v>
      </c>
      <c r="E14" s="13" t="s">
        <v>128</v>
      </c>
    </row>
    <row r="15" spans="1:5" x14ac:dyDescent="0.25">
      <c r="A15" t="s">
        <v>77</v>
      </c>
      <c r="B15">
        <v>10</v>
      </c>
      <c r="D15" t="s">
        <v>82</v>
      </c>
      <c r="E15" s="5">
        <f t="shared" ref="E15:E20" si="1">VLOOKUP($D15,$A$14:$B$20,2,0)</f>
        <v>75</v>
      </c>
    </row>
    <row r="16" spans="1:5" x14ac:dyDescent="0.25">
      <c r="A16" t="s">
        <v>78</v>
      </c>
      <c r="B16">
        <v>20</v>
      </c>
      <c r="D16" t="s">
        <v>78</v>
      </c>
      <c r="E16">
        <f t="shared" si="1"/>
        <v>20</v>
      </c>
    </row>
    <row r="17" spans="1:7" x14ac:dyDescent="0.25">
      <c r="A17" t="s">
        <v>79</v>
      </c>
      <c r="B17">
        <v>36</v>
      </c>
      <c r="D17" t="s">
        <v>79</v>
      </c>
      <c r="E17">
        <f t="shared" si="1"/>
        <v>36</v>
      </c>
    </row>
    <row r="18" spans="1:7" x14ac:dyDescent="0.25">
      <c r="A18" t="s">
        <v>80</v>
      </c>
      <c r="B18">
        <v>96</v>
      </c>
      <c r="D18" t="s">
        <v>80</v>
      </c>
      <c r="E18">
        <f t="shared" si="1"/>
        <v>96</v>
      </c>
    </row>
    <row r="19" spans="1:7" x14ac:dyDescent="0.25">
      <c r="A19" t="s">
        <v>81</v>
      </c>
      <c r="B19">
        <v>25</v>
      </c>
      <c r="D19" t="s">
        <v>81</v>
      </c>
      <c r="E19">
        <f t="shared" si="1"/>
        <v>25</v>
      </c>
    </row>
    <row r="20" spans="1:7" x14ac:dyDescent="0.25">
      <c r="A20" t="s">
        <v>82</v>
      </c>
      <c r="B20" s="4">
        <v>75</v>
      </c>
      <c r="D20" t="s">
        <v>77</v>
      </c>
      <c r="E20">
        <f t="shared" si="1"/>
        <v>10</v>
      </c>
    </row>
    <row r="23" spans="1:7" x14ac:dyDescent="0.25">
      <c r="A23" t="s">
        <v>130</v>
      </c>
    </row>
    <row r="25" spans="1:7" x14ac:dyDescent="0.25">
      <c r="A25" s="4" t="s">
        <v>127</v>
      </c>
      <c r="B25" s="13" t="s">
        <v>128</v>
      </c>
      <c r="C25" s="4" t="s">
        <v>129</v>
      </c>
      <c r="E25" s="4" t="s">
        <v>127</v>
      </c>
      <c r="F25" s="13" t="s">
        <v>128</v>
      </c>
      <c r="G25" s="13" t="s">
        <v>129</v>
      </c>
    </row>
    <row r="26" spans="1:7" x14ac:dyDescent="0.25">
      <c r="A26" t="s">
        <v>77</v>
      </c>
      <c r="B26">
        <v>10</v>
      </c>
      <c r="C26">
        <v>69</v>
      </c>
      <c r="E26" t="s">
        <v>77</v>
      </c>
      <c r="F26" s="5">
        <f t="shared" ref="F26:G31" si="2">VLOOKUP($E26,$A$25:$C$31,MATCH(F$25,$A$25:$C$25,0),0)</f>
        <v>10</v>
      </c>
      <c r="G26">
        <f t="shared" si="2"/>
        <v>69</v>
      </c>
    </row>
    <row r="27" spans="1:7" x14ac:dyDescent="0.25">
      <c r="A27" t="s">
        <v>78</v>
      </c>
      <c r="B27">
        <v>20</v>
      </c>
      <c r="C27">
        <v>36</v>
      </c>
      <c r="E27" t="s">
        <v>78</v>
      </c>
      <c r="F27">
        <f t="shared" si="2"/>
        <v>20</v>
      </c>
      <c r="G27">
        <f t="shared" si="2"/>
        <v>36</v>
      </c>
    </row>
    <row r="28" spans="1:7" x14ac:dyDescent="0.25">
      <c r="A28" t="s">
        <v>79</v>
      </c>
      <c r="B28">
        <v>36</v>
      </c>
      <c r="C28">
        <v>25</v>
      </c>
      <c r="E28" t="s">
        <v>79</v>
      </c>
      <c r="F28">
        <f t="shared" si="2"/>
        <v>36</v>
      </c>
      <c r="G28">
        <f t="shared" si="2"/>
        <v>25</v>
      </c>
    </row>
    <row r="29" spans="1:7" x14ac:dyDescent="0.25">
      <c r="A29" t="s">
        <v>80</v>
      </c>
      <c r="B29">
        <v>96</v>
      </c>
      <c r="C29">
        <v>84</v>
      </c>
      <c r="E29" t="s">
        <v>80</v>
      </c>
      <c r="F29">
        <f t="shared" si="2"/>
        <v>96</v>
      </c>
      <c r="G29">
        <f t="shared" si="2"/>
        <v>84</v>
      </c>
    </row>
    <row r="30" spans="1:7" x14ac:dyDescent="0.25">
      <c r="A30" t="s">
        <v>81</v>
      </c>
      <c r="B30">
        <v>25</v>
      </c>
      <c r="C30">
        <v>12</v>
      </c>
      <c r="E30" t="s">
        <v>81</v>
      </c>
      <c r="F30">
        <f t="shared" si="2"/>
        <v>25</v>
      </c>
      <c r="G30">
        <f t="shared" si="2"/>
        <v>12</v>
      </c>
    </row>
    <row r="31" spans="1:7" x14ac:dyDescent="0.25">
      <c r="A31" t="s">
        <v>82</v>
      </c>
      <c r="B31" s="5">
        <v>75</v>
      </c>
      <c r="C31" s="4">
        <v>85</v>
      </c>
      <c r="E31" t="s">
        <v>82</v>
      </c>
      <c r="F31" s="5">
        <f t="shared" si="2"/>
        <v>75</v>
      </c>
      <c r="G31">
        <f t="shared" si="2"/>
        <v>85</v>
      </c>
    </row>
    <row r="33" spans="1:7" x14ac:dyDescent="0.25">
      <c r="A33" t="s">
        <v>131</v>
      </c>
    </row>
    <row r="35" spans="1:7" x14ac:dyDescent="0.25">
      <c r="A35" s="4" t="s">
        <v>127</v>
      </c>
      <c r="B35" s="13" t="s">
        <v>128</v>
      </c>
      <c r="C35" s="13" t="s">
        <v>129</v>
      </c>
      <c r="E35" s="4" t="s">
        <v>127</v>
      </c>
      <c r="F35" s="13" t="s">
        <v>129</v>
      </c>
      <c r="G35" s="13" t="s">
        <v>128</v>
      </c>
    </row>
    <row r="36" spans="1:7" x14ac:dyDescent="0.25">
      <c r="A36" t="s">
        <v>77</v>
      </c>
      <c r="B36">
        <v>10</v>
      </c>
      <c r="C36">
        <v>69</v>
      </c>
      <c r="E36" t="s">
        <v>77</v>
      </c>
      <c r="F36">
        <f t="shared" ref="F36:G41" si="3">INDEX($A$35:$C$41,MATCH($E36,$A$35:$A$41,0),MATCH(F$35,$A$35:$C$35,0))</f>
        <v>69</v>
      </c>
      <c r="G36">
        <f t="shared" si="3"/>
        <v>10</v>
      </c>
    </row>
    <row r="37" spans="1:7" x14ac:dyDescent="0.25">
      <c r="A37" t="s">
        <v>78</v>
      </c>
      <c r="B37">
        <v>20</v>
      </c>
      <c r="C37">
        <v>36</v>
      </c>
      <c r="E37" t="s">
        <v>78</v>
      </c>
      <c r="F37">
        <f t="shared" si="3"/>
        <v>36</v>
      </c>
      <c r="G37">
        <f t="shared" si="3"/>
        <v>20</v>
      </c>
    </row>
    <row r="38" spans="1:7" x14ac:dyDescent="0.25">
      <c r="A38" t="s">
        <v>79</v>
      </c>
      <c r="B38">
        <v>36</v>
      </c>
      <c r="C38">
        <v>25</v>
      </c>
      <c r="E38" t="s">
        <v>79</v>
      </c>
      <c r="F38">
        <f t="shared" si="3"/>
        <v>25</v>
      </c>
      <c r="G38">
        <f t="shared" si="3"/>
        <v>36</v>
      </c>
    </row>
    <row r="39" spans="1:7" x14ac:dyDescent="0.25">
      <c r="A39" t="s">
        <v>80</v>
      </c>
      <c r="B39">
        <v>96</v>
      </c>
      <c r="C39">
        <v>84</v>
      </c>
      <c r="E39" t="s">
        <v>80</v>
      </c>
      <c r="F39">
        <f t="shared" si="3"/>
        <v>84</v>
      </c>
      <c r="G39">
        <f t="shared" si="3"/>
        <v>96</v>
      </c>
    </row>
    <row r="40" spans="1:7" x14ac:dyDescent="0.25">
      <c r="A40" t="s">
        <v>81</v>
      </c>
      <c r="B40">
        <v>25</v>
      </c>
      <c r="C40">
        <v>12</v>
      </c>
      <c r="E40" t="s">
        <v>81</v>
      </c>
      <c r="F40">
        <f t="shared" si="3"/>
        <v>12</v>
      </c>
      <c r="G40">
        <f t="shared" si="3"/>
        <v>25</v>
      </c>
    </row>
    <row r="41" spans="1:7" x14ac:dyDescent="0.25">
      <c r="A41" t="s">
        <v>82</v>
      </c>
      <c r="B41" s="5">
        <v>75</v>
      </c>
      <c r="C41">
        <v>85</v>
      </c>
      <c r="E41" t="s">
        <v>82</v>
      </c>
      <c r="F41" s="5">
        <f t="shared" si="3"/>
        <v>85</v>
      </c>
      <c r="G41">
        <f t="shared" si="3"/>
        <v>75</v>
      </c>
    </row>
    <row r="44" spans="1:7" x14ac:dyDescent="0.25">
      <c r="A44" s="4" t="s">
        <v>127</v>
      </c>
      <c r="B44" s="13" t="s">
        <v>128</v>
      </c>
      <c r="C44" s="13" t="s">
        <v>129</v>
      </c>
      <c r="E44" s="4" t="s">
        <v>127</v>
      </c>
      <c r="F44" s="13" t="s">
        <v>129</v>
      </c>
      <c r="G44" s="13" t="s">
        <v>128</v>
      </c>
    </row>
    <row r="45" spans="1:7" x14ac:dyDescent="0.25">
      <c r="A45" t="s">
        <v>77</v>
      </c>
      <c r="B45">
        <v>10</v>
      </c>
      <c r="C45">
        <v>69</v>
      </c>
      <c r="E45" t="s">
        <v>77</v>
      </c>
      <c r="F45">
        <f t="shared" ref="F45:G50" ca="1" si="4">OFFSET($A$44,MATCH($E45,$A$44:$A$50,0)-1,MATCH(F$44,$A$44:$C$44,0)-1)</f>
        <v>69</v>
      </c>
      <c r="G45">
        <f t="shared" ca="1" si="4"/>
        <v>10</v>
      </c>
    </row>
    <row r="46" spans="1:7" x14ac:dyDescent="0.25">
      <c r="A46" t="s">
        <v>78</v>
      </c>
      <c r="B46">
        <v>20</v>
      </c>
      <c r="C46">
        <v>36</v>
      </c>
      <c r="E46" t="s">
        <v>78</v>
      </c>
      <c r="F46">
        <f t="shared" ca="1" si="4"/>
        <v>36</v>
      </c>
      <c r="G46">
        <f t="shared" ca="1" si="4"/>
        <v>20</v>
      </c>
    </row>
    <row r="47" spans="1:7" x14ac:dyDescent="0.25">
      <c r="A47" t="s">
        <v>79</v>
      </c>
      <c r="B47">
        <v>36</v>
      </c>
      <c r="C47">
        <v>25</v>
      </c>
      <c r="E47" t="s">
        <v>79</v>
      </c>
      <c r="F47">
        <f t="shared" ca="1" si="4"/>
        <v>25</v>
      </c>
      <c r="G47">
        <f t="shared" ca="1" si="4"/>
        <v>36</v>
      </c>
    </row>
    <row r="48" spans="1:7" x14ac:dyDescent="0.25">
      <c r="A48" t="s">
        <v>80</v>
      </c>
      <c r="B48">
        <v>96</v>
      </c>
      <c r="C48">
        <v>84</v>
      </c>
      <c r="E48" t="s">
        <v>80</v>
      </c>
      <c r="F48">
        <f t="shared" ca="1" si="4"/>
        <v>84</v>
      </c>
      <c r="G48">
        <f t="shared" ca="1" si="4"/>
        <v>96</v>
      </c>
    </row>
    <row r="49" spans="1:7" x14ac:dyDescent="0.25">
      <c r="A49" t="s">
        <v>81</v>
      </c>
      <c r="B49">
        <v>25</v>
      </c>
      <c r="C49">
        <v>12</v>
      </c>
      <c r="E49" t="s">
        <v>81</v>
      </c>
      <c r="F49">
        <f t="shared" ca="1" si="4"/>
        <v>12</v>
      </c>
      <c r="G49">
        <f t="shared" ca="1" si="4"/>
        <v>25</v>
      </c>
    </row>
    <row r="50" spans="1:7" x14ac:dyDescent="0.25">
      <c r="A50" t="s">
        <v>82</v>
      </c>
      <c r="B50" s="5">
        <v>75</v>
      </c>
      <c r="C50">
        <v>85</v>
      </c>
      <c r="E50" t="s">
        <v>82</v>
      </c>
      <c r="F50" s="5">
        <f t="shared" ca="1" si="4"/>
        <v>85</v>
      </c>
      <c r="G50">
        <f t="shared" ca="1" si="4"/>
        <v>75</v>
      </c>
    </row>
    <row r="51" spans="1:7" x14ac:dyDescent="0.25">
      <c r="B51" s="5"/>
      <c r="F51" s="5"/>
    </row>
    <row r="52" spans="1:7" x14ac:dyDescent="0.25">
      <c r="A52" t="s">
        <v>133</v>
      </c>
    </row>
    <row r="54" spans="1:7" x14ac:dyDescent="0.25">
      <c r="A54" s="4" t="s">
        <v>132</v>
      </c>
      <c r="B54" s="9" t="s">
        <v>75</v>
      </c>
      <c r="C54" s="9" t="s">
        <v>76</v>
      </c>
    </row>
    <row r="55" spans="1:7" x14ac:dyDescent="0.25">
      <c r="A55" t="s">
        <v>77</v>
      </c>
      <c r="B55">
        <v>10</v>
      </c>
      <c r="C55" t="str">
        <f t="shared" ref="C55:C60" si="5">IF($B55&gt;=50,"PASS","FAIL")</f>
        <v>FAIL</v>
      </c>
    </row>
    <row r="56" spans="1:7" x14ac:dyDescent="0.25">
      <c r="A56" t="s">
        <v>78</v>
      </c>
      <c r="B56">
        <v>20</v>
      </c>
      <c r="C56" t="str">
        <f t="shared" si="5"/>
        <v>FAIL</v>
      </c>
    </row>
    <row r="57" spans="1:7" x14ac:dyDescent="0.25">
      <c r="A57" t="s">
        <v>79</v>
      </c>
      <c r="B57">
        <v>36</v>
      </c>
      <c r="C57" t="str">
        <f t="shared" si="5"/>
        <v>FAIL</v>
      </c>
    </row>
    <row r="58" spans="1:7" x14ac:dyDescent="0.25">
      <c r="A58" t="s">
        <v>80</v>
      </c>
      <c r="B58">
        <v>96</v>
      </c>
      <c r="C58" t="str">
        <f t="shared" si="5"/>
        <v>PASS</v>
      </c>
    </row>
    <row r="59" spans="1:7" x14ac:dyDescent="0.25">
      <c r="A59" t="s">
        <v>81</v>
      </c>
      <c r="B59">
        <v>25</v>
      </c>
      <c r="C59" t="str">
        <f t="shared" si="5"/>
        <v>FAIL</v>
      </c>
    </row>
    <row r="60" spans="1:7" x14ac:dyDescent="0.25">
      <c r="A60" t="s">
        <v>82</v>
      </c>
      <c r="B60" s="5">
        <v>75</v>
      </c>
      <c r="C60" t="str">
        <f t="shared" si="5"/>
        <v>PASS</v>
      </c>
    </row>
    <row r="64" spans="1:7" x14ac:dyDescent="0.25">
      <c r="A64" s="4" t="s">
        <v>132</v>
      </c>
      <c r="B64" s="9" t="s">
        <v>75</v>
      </c>
      <c r="C64" s="9" t="s">
        <v>94</v>
      </c>
      <c r="F64" s="9"/>
      <c r="G64" s="9"/>
    </row>
    <row r="65" spans="1:7" x14ac:dyDescent="0.25">
      <c r="A65" t="s">
        <v>77</v>
      </c>
      <c r="B65">
        <v>10</v>
      </c>
      <c r="C65" t="str">
        <f t="shared" ref="C65:C70" si="6">IF($B65&gt;=90,"A",IF($B65&gt;=70,"B",IF($B65&gt;=60,"C",IF($B65&gt;=50,"D","FAIL"))))</f>
        <v>FAIL</v>
      </c>
      <c r="F65" t="s">
        <v>96</v>
      </c>
      <c r="G65" t="s">
        <v>77</v>
      </c>
    </row>
    <row r="66" spans="1:7" x14ac:dyDescent="0.25">
      <c r="A66" t="s">
        <v>78</v>
      </c>
      <c r="B66">
        <v>51</v>
      </c>
      <c r="C66" t="str">
        <f t="shared" si="6"/>
        <v>D</v>
      </c>
      <c r="F66" t="s">
        <v>97</v>
      </c>
      <c r="G66" t="s">
        <v>78</v>
      </c>
    </row>
    <row r="67" spans="1:7" x14ac:dyDescent="0.25">
      <c r="A67" t="s">
        <v>79</v>
      </c>
      <c r="B67">
        <v>85</v>
      </c>
      <c r="C67" t="str">
        <f t="shared" si="6"/>
        <v>B</v>
      </c>
      <c r="F67" t="s">
        <v>98</v>
      </c>
      <c r="G67" t="s">
        <v>79</v>
      </c>
    </row>
    <row r="68" spans="1:7" x14ac:dyDescent="0.25">
      <c r="A68" t="s">
        <v>80</v>
      </c>
      <c r="B68">
        <v>96</v>
      </c>
      <c r="C68" t="str">
        <f t="shared" si="6"/>
        <v>A</v>
      </c>
      <c r="F68" t="s">
        <v>99</v>
      </c>
      <c r="G68" t="s">
        <v>80</v>
      </c>
    </row>
    <row r="69" spans="1:7" x14ac:dyDescent="0.25">
      <c r="A69" t="s">
        <v>81</v>
      </c>
      <c r="B69">
        <v>25</v>
      </c>
      <c r="C69" t="str">
        <f t="shared" si="6"/>
        <v>FAIL</v>
      </c>
      <c r="F69" t="s">
        <v>100</v>
      </c>
      <c r="G69" t="s">
        <v>86</v>
      </c>
    </row>
    <row r="70" spans="1:7" x14ac:dyDescent="0.25">
      <c r="A70" t="s">
        <v>82</v>
      </c>
      <c r="B70" s="5">
        <v>75</v>
      </c>
      <c r="C70" t="str">
        <f t="shared" si="6"/>
        <v>B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/>
  <dimension ref="A3:J41"/>
  <sheetViews>
    <sheetView topLeftCell="A30" zoomScale="175" zoomScaleNormal="175" workbookViewId="0">
      <selection activeCell="I40" sqref="I40"/>
    </sheetView>
  </sheetViews>
  <sheetFormatPr defaultRowHeight="15" x14ac:dyDescent="0.25"/>
  <cols>
    <col min="1" max="1" width="11.28515625" customWidth="1"/>
    <col min="2" max="3" width="9.42578125" bestFit="1" customWidth="1"/>
    <col min="4" max="4" width="7.28515625" bestFit="1" customWidth="1"/>
    <col min="8" max="10" width="9.42578125" bestFit="1" customWidth="1"/>
  </cols>
  <sheetData>
    <row r="3" spans="1:8" x14ac:dyDescent="0.25">
      <c r="A3" s="15" t="s">
        <v>134</v>
      </c>
      <c r="B3" s="15" t="s">
        <v>135</v>
      </c>
      <c r="C3" s="15" t="s">
        <v>136</v>
      </c>
      <c r="D3" s="15" t="s">
        <v>137</v>
      </c>
      <c r="E3" s="15" t="s">
        <v>138</v>
      </c>
    </row>
    <row r="4" spans="1:8" x14ac:dyDescent="0.25">
      <c r="A4">
        <v>890000</v>
      </c>
      <c r="B4">
        <f>A4*40%</f>
        <v>356000</v>
      </c>
      <c r="C4">
        <f>A4*10%</f>
        <v>89000</v>
      </c>
      <c r="D4">
        <f>A4*5%</f>
        <v>44500</v>
      </c>
      <c r="E4">
        <f>A4-B4-C4-D4</f>
        <v>400500</v>
      </c>
      <c r="F4">
        <f>UDFSAVING(A4)</f>
        <v>400500</v>
      </c>
    </row>
    <row r="5" spans="1:8" x14ac:dyDescent="0.25">
      <c r="A5">
        <v>2560000</v>
      </c>
      <c r="B5">
        <f t="shared" ref="B5:B7" si="0">A5*40%</f>
        <v>1024000</v>
      </c>
      <c r="C5">
        <f t="shared" ref="C5:C7" si="1">A5*10%</f>
        <v>256000</v>
      </c>
      <c r="D5">
        <f t="shared" ref="D5:D7" si="2">A5*5%</f>
        <v>128000</v>
      </c>
      <c r="E5">
        <f t="shared" ref="E5:E7" si="3">A5-B5-C5-D5</f>
        <v>1152000</v>
      </c>
      <c r="F5">
        <f t="shared" ref="F5:F7" si="4">UDFSAVING(A5)</f>
        <v>1152000</v>
      </c>
    </row>
    <row r="6" spans="1:8" x14ac:dyDescent="0.25">
      <c r="A6">
        <v>350000</v>
      </c>
      <c r="B6">
        <f t="shared" si="0"/>
        <v>140000</v>
      </c>
      <c r="C6">
        <f t="shared" si="1"/>
        <v>35000</v>
      </c>
      <c r="D6">
        <f t="shared" si="2"/>
        <v>17500</v>
      </c>
      <c r="E6">
        <f t="shared" si="3"/>
        <v>157500</v>
      </c>
      <c r="F6">
        <f t="shared" si="4"/>
        <v>157500</v>
      </c>
    </row>
    <row r="7" spans="1:8" x14ac:dyDescent="0.25">
      <c r="A7">
        <v>680000</v>
      </c>
      <c r="B7">
        <f t="shared" si="0"/>
        <v>272000</v>
      </c>
      <c r="C7">
        <f t="shared" si="1"/>
        <v>68000</v>
      </c>
      <c r="D7">
        <f t="shared" si="2"/>
        <v>34000</v>
      </c>
      <c r="E7">
        <f t="shared" si="3"/>
        <v>306000</v>
      </c>
      <c r="F7">
        <f t="shared" si="4"/>
        <v>306000</v>
      </c>
    </row>
    <row r="10" spans="1:8" x14ac:dyDescent="0.25">
      <c r="A10">
        <v>890000</v>
      </c>
      <c r="B10">
        <f>UDFSAVING(A10)</f>
        <v>400500</v>
      </c>
    </row>
    <row r="11" spans="1:8" x14ac:dyDescent="0.25">
      <c r="A11">
        <v>2560000</v>
      </c>
      <c r="B11">
        <f t="shared" ref="B11:B13" si="5">UDFSAVING(A11)</f>
        <v>1152000</v>
      </c>
    </row>
    <row r="12" spans="1:8" x14ac:dyDescent="0.25">
      <c r="A12">
        <v>350000</v>
      </c>
      <c r="B12">
        <f t="shared" si="5"/>
        <v>157500</v>
      </c>
    </row>
    <row r="13" spans="1:8" x14ac:dyDescent="0.25">
      <c r="A13">
        <v>680000</v>
      </c>
      <c r="B13">
        <f t="shared" si="5"/>
        <v>306000</v>
      </c>
    </row>
    <row r="15" spans="1:8" x14ac:dyDescent="0.25">
      <c r="G15" t="s">
        <v>146</v>
      </c>
    </row>
    <row r="16" spans="1:8" x14ac:dyDescent="0.25">
      <c r="A16" s="4" t="s">
        <v>139</v>
      </c>
      <c r="B16" s="4" t="s">
        <v>140</v>
      </c>
      <c r="C16" s="14" t="s">
        <v>33</v>
      </c>
      <c r="D16" s="4" t="s">
        <v>141</v>
      </c>
      <c r="E16" s="14" t="s">
        <v>142</v>
      </c>
      <c r="F16" s="14" t="s">
        <v>143</v>
      </c>
      <c r="G16" s="14" t="s">
        <v>137</v>
      </c>
      <c r="H16" s="14" t="s">
        <v>144</v>
      </c>
    </row>
    <row r="17" spans="1:10" x14ac:dyDescent="0.25">
      <c r="A17">
        <v>120</v>
      </c>
      <c r="B17">
        <v>100000</v>
      </c>
      <c r="C17">
        <f>A17*B17</f>
        <v>12000000</v>
      </c>
      <c r="D17">
        <v>5</v>
      </c>
      <c r="E17">
        <f>(C17/D17)*20%</f>
        <v>480000</v>
      </c>
      <c r="F17">
        <f>C17*10%</f>
        <v>1200000</v>
      </c>
      <c r="G17">
        <f>(E17+F17)*10%</f>
        <v>168000</v>
      </c>
      <c r="H17">
        <f>C17-E17-F17-G17</f>
        <v>10152000</v>
      </c>
      <c r="I17">
        <f>UDFASTVAL(A17,B17,D17)</f>
        <v>10152000</v>
      </c>
      <c r="J17">
        <f>UDFASTVAL(A17,B17,D17)</f>
        <v>10152000</v>
      </c>
    </row>
    <row r="18" spans="1:10" x14ac:dyDescent="0.25">
      <c r="A18">
        <v>89000</v>
      </c>
      <c r="B18">
        <v>500</v>
      </c>
      <c r="C18">
        <f t="shared" ref="C18:C21" si="6">A18*B18</f>
        <v>44500000</v>
      </c>
      <c r="D18">
        <v>1</v>
      </c>
      <c r="E18">
        <f t="shared" ref="E18:E21" si="7">(C18/D18)*20%</f>
        <v>8900000</v>
      </c>
      <c r="F18">
        <f t="shared" ref="F18:F21" si="8">C18*10%</f>
        <v>4450000</v>
      </c>
      <c r="G18">
        <f t="shared" ref="G18:G21" si="9">(E18+F18)*10%</f>
        <v>1335000</v>
      </c>
      <c r="H18">
        <f t="shared" ref="H18:H21" si="10">C18-E18-F18-G18</f>
        <v>29815000</v>
      </c>
      <c r="I18">
        <f t="shared" ref="I18:I21" si="11">UDFASTVAL(A18,B18,D18)</f>
        <v>29815000</v>
      </c>
    </row>
    <row r="19" spans="1:10" x14ac:dyDescent="0.25">
      <c r="A19">
        <v>1200</v>
      </c>
      <c r="B19">
        <v>14000</v>
      </c>
      <c r="C19">
        <f t="shared" si="6"/>
        <v>16800000</v>
      </c>
      <c r="D19">
        <v>2</v>
      </c>
      <c r="E19">
        <f t="shared" si="7"/>
        <v>1680000</v>
      </c>
      <c r="F19">
        <f t="shared" si="8"/>
        <v>1680000</v>
      </c>
      <c r="G19">
        <f t="shared" si="9"/>
        <v>336000</v>
      </c>
      <c r="H19">
        <f t="shared" si="10"/>
        <v>13104000</v>
      </c>
      <c r="I19">
        <f t="shared" si="11"/>
        <v>13104000</v>
      </c>
    </row>
    <row r="20" spans="1:10" x14ac:dyDescent="0.25">
      <c r="A20">
        <v>5000</v>
      </c>
      <c r="B20">
        <v>9000</v>
      </c>
      <c r="C20">
        <f t="shared" si="6"/>
        <v>45000000</v>
      </c>
      <c r="D20">
        <v>3</v>
      </c>
      <c r="E20">
        <f t="shared" si="7"/>
        <v>3000000</v>
      </c>
      <c r="F20">
        <f t="shared" si="8"/>
        <v>4500000</v>
      </c>
      <c r="G20">
        <f t="shared" si="9"/>
        <v>750000</v>
      </c>
      <c r="H20">
        <f t="shared" si="10"/>
        <v>36750000</v>
      </c>
      <c r="I20">
        <f t="shared" si="11"/>
        <v>36750000</v>
      </c>
    </row>
    <row r="21" spans="1:10" x14ac:dyDescent="0.25">
      <c r="A21">
        <v>45000</v>
      </c>
      <c r="B21">
        <v>1200</v>
      </c>
      <c r="C21">
        <f t="shared" si="6"/>
        <v>54000000</v>
      </c>
      <c r="D21">
        <v>4</v>
      </c>
      <c r="E21">
        <f t="shared" si="7"/>
        <v>2700000</v>
      </c>
      <c r="F21">
        <f t="shared" si="8"/>
        <v>5400000</v>
      </c>
      <c r="G21">
        <f t="shared" si="9"/>
        <v>810000</v>
      </c>
      <c r="H21">
        <f t="shared" si="10"/>
        <v>45090000</v>
      </c>
      <c r="I21">
        <f t="shared" si="11"/>
        <v>45090000</v>
      </c>
    </row>
    <row r="22" spans="1:10" x14ac:dyDescent="0.25">
      <c r="F22" t="s">
        <v>145</v>
      </c>
      <c r="H22" t="s">
        <v>147</v>
      </c>
    </row>
    <row r="25" spans="1:10" x14ac:dyDescent="0.25">
      <c r="A25" t="s">
        <v>148</v>
      </c>
    </row>
    <row r="27" spans="1:10" x14ac:dyDescent="0.25">
      <c r="A27" s="4"/>
      <c r="B27" s="4"/>
      <c r="C27" s="4" t="s">
        <v>150</v>
      </c>
      <c r="H27" t="s">
        <v>153</v>
      </c>
    </row>
    <row r="28" spans="1:10" x14ac:dyDescent="0.25">
      <c r="A28">
        <v>0</v>
      </c>
      <c r="B28">
        <v>250000</v>
      </c>
      <c r="C28" s="16">
        <v>0</v>
      </c>
      <c r="E28">
        <v>0</v>
      </c>
      <c r="F28">
        <f>SUM($E$28:E28)</f>
        <v>0</v>
      </c>
      <c r="H28">
        <v>96999</v>
      </c>
    </row>
    <row r="29" spans="1:10" x14ac:dyDescent="0.25">
      <c r="A29">
        <v>250001</v>
      </c>
      <c r="B29">
        <v>500000</v>
      </c>
      <c r="C29" s="17">
        <v>5.1499999999999997E-2</v>
      </c>
      <c r="E29">
        <f>(B29-B28)*C29</f>
        <v>12875</v>
      </c>
      <c r="F29">
        <f>SUM($E$28:E29)</f>
        <v>12875</v>
      </c>
    </row>
    <row r="30" spans="1:10" x14ac:dyDescent="0.25">
      <c r="A30">
        <v>500001</v>
      </c>
      <c r="B30">
        <v>1000000</v>
      </c>
      <c r="C30" s="17">
        <v>0.20599999999999999</v>
      </c>
      <c r="E30">
        <f t="shared" ref="E30:E31" si="12">(B30-B29)*C30</f>
        <v>103000</v>
      </c>
      <c r="F30">
        <f>SUM($E$28:E30)</f>
        <v>115875</v>
      </c>
    </row>
    <row r="31" spans="1:10" x14ac:dyDescent="0.25">
      <c r="A31">
        <v>1000001</v>
      </c>
      <c r="B31">
        <v>10000000</v>
      </c>
      <c r="C31" s="17">
        <v>0.309</v>
      </c>
      <c r="E31">
        <f t="shared" si="12"/>
        <v>2781000</v>
      </c>
      <c r="F31">
        <f>SUM($E$28:E31)</f>
        <v>2896875</v>
      </c>
    </row>
    <row r="32" spans="1:10" x14ac:dyDescent="0.25">
      <c r="A32" t="s">
        <v>149</v>
      </c>
      <c r="C32" s="17">
        <v>0.33989999999999998</v>
      </c>
      <c r="F32" s="5"/>
      <c r="G32" s="5"/>
      <c r="H32" s="5"/>
      <c r="I32" s="10"/>
    </row>
    <row r="33" spans="1:10" x14ac:dyDescent="0.25">
      <c r="F33" s="5"/>
      <c r="G33" s="5"/>
      <c r="H33" s="5"/>
    </row>
    <row r="34" spans="1:10" x14ac:dyDescent="0.25">
      <c r="E34" s="10"/>
      <c r="F34" s="10"/>
      <c r="G34" s="10"/>
      <c r="H34" s="10"/>
      <c r="I34" s="10"/>
    </row>
    <row r="35" spans="1:10" x14ac:dyDescent="0.25">
      <c r="A35" s="9" t="s">
        <v>151</v>
      </c>
      <c r="B35" s="18" t="s">
        <v>152</v>
      </c>
      <c r="F35" s="5"/>
      <c r="G35" s="10"/>
      <c r="H35" s="5"/>
      <c r="J35" s="10"/>
    </row>
    <row r="36" spans="1:10" x14ac:dyDescent="0.25">
      <c r="A36">
        <v>10000000</v>
      </c>
      <c r="B36" t="e">
        <f ca="1">[1]!INCTX(A36)</f>
        <v>#NAME?</v>
      </c>
      <c r="F36" s="5"/>
      <c r="G36" s="5"/>
      <c r="H36" s="5"/>
    </row>
    <row r="37" spans="1:10" x14ac:dyDescent="0.25">
      <c r="F37" s="10"/>
    </row>
    <row r="39" spans="1:10" x14ac:dyDescent="0.25">
      <c r="G39" s="10"/>
      <c r="H39" s="10"/>
    </row>
    <row r="41" spans="1:10" x14ac:dyDescent="0.25">
      <c r="E41" s="10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0"/>
  <dimension ref="D8:I17"/>
  <sheetViews>
    <sheetView workbookViewId="0"/>
  </sheetViews>
  <sheetFormatPr defaultRowHeight="15" x14ac:dyDescent="0.25"/>
  <sheetData>
    <row r="8" spans="4:9" x14ac:dyDescent="0.25">
      <c r="E8" s="10"/>
    </row>
    <row r="13" spans="4:9" x14ac:dyDescent="0.25">
      <c r="D13" s="10"/>
    </row>
    <row r="16" spans="4:9" x14ac:dyDescent="0.25">
      <c r="I16" s="10"/>
    </row>
    <row r="17" spans="5:5" x14ac:dyDescent="0.25">
      <c r="E17" s="10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9"/>
  <dimension ref="A1:I188"/>
  <sheetViews>
    <sheetView topLeftCell="A22" zoomScale="120" zoomScaleNormal="120" workbookViewId="0">
      <selection activeCell="H29" sqref="H29"/>
    </sheetView>
  </sheetViews>
  <sheetFormatPr defaultRowHeight="15" x14ac:dyDescent="0.25"/>
  <cols>
    <col min="1" max="1" width="10.85546875" customWidth="1"/>
    <col min="2" max="2" width="8.7109375" customWidth="1"/>
    <col min="3" max="4" width="4.28515625" customWidth="1"/>
    <col min="5" max="5" width="26.42578125" bestFit="1" customWidth="1"/>
    <col min="6" max="6" width="11.7109375" bestFit="1" customWidth="1"/>
    <col min="7" max="8" width="11.5703125" customWidth="1"/>
  </cols>
  <sheetData>
    <row r="1" spans="1:9" s="21" customFormat="1" ht="18.75" customHeight="1" x14ac:dyDescent="0.25"/>
    <row r="2" spans="1:9" s="21" customFormat="1" x14ac:dyDescent="0.25"/>
    <row r="3" spans="1:9" s="21" customFormat="1" x14ac:dyDescent="0.25"/>
    <row r="4" spans="1:9" s="21" customFormat="1" ht="15" customHeight="1" x14ac:dyDescent="0.25"/>
    <row r="5" spans="1:9" s="21" customFormat="1" ht="10.5" customHeight="1" thickBot="1" x14ac:dyDescent="0.3"/>
    <row r="6" spans="1:9" ht="16.5" thickBot="1" x14ac:dyDescent="0.3">
      <c r="A6" s="22" t="s">
        <v>172</v>
      </c>
      <c r="B6" s="23"/>
      <c r="E6" s="32" t="s">
        <v>173</v>
      </c>
      <c r="F6" s="33"/>
      <c r="G6" s="33"/>
      <c r="H6" s="33"/>
      <c r="I6" s="34"/>
    </row>
    <row r="7" spans="1:9" x14ac:dyDescent="0.25">
      <c r="A7" s="24" t="s">
        <v>174</v>
      </c>
      <c r="B7" s="25" t="s">
        <v>175</v>
      </c>
      <c r="E7" t="s">
        <v>176</v>
      </c>
      <c r="F7" t="s">
        <v>177</v>
      </c>
      <c r="G7" t="s">
        <v>178</v>
      </c>
      <c r="H7" t="s">
        <v>179</v>
      </c>
    </row>
    <row r="8" spans="1:9" x14ac:dyDescent="0.25">
      <c r="A8" s="26">
        <v>41275</v>
      </c>
      <c r="B8" s="27">
        <v>121</v>
      </c>
      <c r="E8" t="s">
        <v>180</v>
      </c>
      <c r="F8" s="28">
        <v>41289</v>
      </c>
      <c r="G8">
        <f>H8-F8</f>
        <v>45</v>
      </c>
      <c r="H8" s="28">
        <v>41334</v>
      </c>
      <c r="I8">
        <f>DATEVALUE("15-JAN-13")</f>
        <v>41289</v>
      </c>
    </row>
    <row r="9" spans="1:9" x14ac:dyDescent="0.25">
      <c r="A9" s="26">
        <v>41276</v>
      </c>
      <c r="B9" s="27">
        <v>181</v>
      </c>
      <c r="E9" t="s">
        <v>181</v>
      </c>
      <c r="F9" s="28">
        <v>41296</v>
      </c>
      <c r="G9">
        <f t="shared" ref="G9:G17" si="0">H9-F9</f>
        <v>46</v>
      </c>
      <c r="H9" s="28">
        <v>41342</v>
      </c>
    </row>
    <row r="10" spans="1:9" x14ac:dyDescent="0.25">
      <c r="A10" s="26">
        <v>41277</v>
      </c>
      <c r="B10" s="27">
        <v>180</v>
      </c>
      <c r="E10" t="s">
        <v>182</v>
      </c>
      <c r="F10" s="28">
        <v>41335</v>
      </c>
      <c r="G10">
        <f t="shared" si="0"/>
        <v>17</v>
      </c>
      <c r="H10" s="28">
        <v>41352</v>
      </c>
    </row>
    <row r="11" spans="1:9" x14ac:dyDescent="0.25">
      <c r="A11" s="26">
        <v>41278</v>
      </c>
      <c r="B11" s="27">
        <v>133</v>
      </c>
      <c r="E11" t="s">
        <v>183</v>
      </c>
      <c r="F11" s="28">
        <v>41349</v>
      </c>
      <c r="G11">
        <f t="shared" si="0"/>
        <v>12</v>
      </c>
      <c r="H11" s="28">
        <v>41361</v>
      </c>
    </row>
    <row r="12" spans="1:9" x14ac:dyDescent="0.25">
      <c r="A12" s="26">
        <v>41279</v>
      </c>
      <c r="B12" s="27">
        <v>160</v>
      </c>
      <c r="E12" t="s">
        <v>184</v>
      </c>
      <c r="F12" s="28">
        <v>41348</v>
      </c>
      <c r="G12">
        <f t="shared" si="0"/>
        <v>20</v>
      </c>
      <c r="H12" s="28">
        <v>41368</v>
      </c>
    </row>
    <row r="13" spans="1:9" x14ac:dyDescent="0.25">
      <c r="A13" s="26">
        <v>41280</v>
      </c>
      <c r="B13" s="27">
        <v>105</v>
      </c>
      <c r="E13" t="s">
        <v>185</v>
      </c>
      <c r="F13" s="28">
        <v>41352</v>
      </c>
      <c r="G13">
        <f t="shared" si="0"/>
        <v>27</v>
      </c>
      <c r="H13" s="28">
        <v>41379</v>
      </c>
    </row>
    <row r="14" spans="1:9" x14ac:dyDescent="0.25">
      <c r="A14" s="26">
        <v>41281</v>
      </c>
      <c r="B14" s="27">
        <v>152</v>
      </c>
      <c r="E14" t="s">
        <v>186</v>
      </c>
      <c r="F14" s="28">
        <v>41358</v>
      </c>
      <c r="G14">
        <f t="shared" si="0"/>
        <v>28</v>
      </c>
      <c r="H14" s="28">
        <v>41386</v>
      </c>
    </row>
    <row r="15" spans="1:9" x14ac:dyDescent="0.25">
      <c r="A15" s="26">
        <v>41282</v>
      </c>
      <c r="B15" s="27">
        <v>192</v>
      </c>
      <c r="E15" t="s">
        <v>187</v>
      </c>
      <c r="F15" s="28">
        <v>41372</v>
      </c>
      <c r="G15">
        <f t="shared" si="0"/>
        <v>17</v>
      </c>
      <c r="H15" s="28">
        <v>41389</v>
      </c>
    </row>
    <row r="16" spans="1:9" x14ac:dyDescent="0.25">
      <c r="A16" s="26">
        <v>41283</v>
      </c>
      <c r="B16" s="27">
        <v>167</v>
      </c>
      <c r="E16" t="s">
        <v>188</v>
      </c>
      <c r="F16" s="28">
        <v>41386</v>
      </c>
      <c r="G16">
        <f t="shared" si="0"/>
        <v>13</v>
      </c>
      <c r="H16" s="28">
        <v>41399</v>
      </c>
    </row>
    <row r="17" spans="1:9" x14ac:dyDescent="0.25">
      <c r="A17" s="26">
        <v>41284</v>
      </c>
      <c r="B17" s="27">
        <v>191</v>
      </c>
      <c r="E17" t="s">
        <v>189</v>
      </c>
      <c r="F17" s="28">
        <v>41388</v>
      </c>
      <c r="G17">
        <f t="shared" si="0"/>
        <v>12</v>
      </c>
      <c r="H17" s="28">
        <v>41400</v>
      </c>
      <c r="I17">
        <f>DATEVALUE("06-MAY-13")</f>
        <v>41400</v>
      </c>
    </row>
    <row r="18" spans="1:9" x14ac:dyDescent="0.25">
      <c r="A18" s="26">
        <v>41285</v>
      </c>
      <c r="B18" s="27">
        <v>172</v>
      </c>
    </row>
    <row r="19" spans="1:9" ht="15.75" thickBot="1" x14ac:dyDescent="0.3">
      <c r="A19" s="26">
        <v>41286</v>
      </c>
      <c r="B19" s="27">
        <v>184</v>
      </c>
    </row>
    <row r="20" spans="1:9" ht="15.75" thickBot="1" x14ac:dyDescent="0.3">
      <c r="A20" s="26">
        <v>41287</v>
      </c>
      <c r="B20" s="27">
        <v>109</v>
      </c>
      <c r="F20" s="32" t="s">
        <v>229</v>
      </c>
      <c r="G20" s="33"/>
      <c r="H20" s="33"/>
      <c r="I20" s="34"/>
    </row>
    <row r="21" spans="1:9" x14ac:dyDescent="0.25">
      <c r="A21" s="26">
        <v>41288</v>
      </c>
      <c r="B21" s="27">
        <v>157</v>
      </c>
      <c r="F21" t="s">
        <v>190</v>
      </c>
      <c r="G21" t="s">
        <v>191</v>
      </c>
      <c r="H21" t="s">
        <v>192</v>
      </c>
      <c r="I21" t="s">
        <v>193</v>
      </c>
    </row>
    <row r="22" spans="1:9" x14ac:dyDescent="0.25">
      <c r="A22" s="26">
        <v>41289</v>
      </c>
      <c r="B22" s="27">
        <v>194</v>
      </c>
      <c r="F22" t="s">
        <v>194</v>
      </c>
      <c r="G22">
        <v>2000</v>
      </c>
      <c r="H22">
        <v>2000</v>
      </c>
      <c r="I22" s="16">
        <f>H22/$H$28</f>
        <v>0.13513513513513514</v>
      </c>
    </row>
    <row r="23" spans="1:9" x14ac:dyDescent="0.25">
      <c r="A23" s="26">
        <v>41290</v>
      </c>
      <c r="B23" s="27">
        <v>144</v>
      </c>
      <c r="F23" t="s">
        <v>195</v>
      </c>
      <c r="G23">
        <v>4000</v>
      </c>
      <c r="H23">
        <v>6000</v>
      </c>
      <c r="I23" s="16">
        <f t="shared" ref="I23:I28" si="1">H23/$H$28</f>
        <v>0.40540540540540543</v>
      </c>
    </row>
    <row r="24" spans="1:9" x14ac:dyDescent="0.25">
      <c r="A24" s="26">
        <v>41291</v>
      </c>
      <c r="B24" s="27">
        <v>179</v>
      </c>
      <c r="F24" t="s">
        <v>196</v>
      </c>
      <c r="G24">
        <v>800</v>
      </c>
      <c r="H24">
        <v>6800</v>
      </c>
      <c r="I24" s="16">
        <f t="shared" si="1"/>
        <v>0.45945945945945948</v>
      </c>
    </row>
    <row r="25" spans="1:9" x14ac:dyDescent="0.25">
      <c r="A25" s="26">
        <v>41292</v>
      </c>
      <c r="B25" s="27">
        <v>102</v>
      </c>
      <c r="F25" t="s">
        <v>197</v>
      </c>
      <c r="G25">
        <v>500</v>
      </c>
      <c r="H25">
        <v>7300</v>
      </c>
      <c r="I25" s="16">
        <f t="shared" si="1"/>
        <v>0.49324324324324326</v>
      </c>
    </row>
    <row r="26" spans="1:9" x14ac:dyDescent="0.25">
      <c r="A26" s="26">
        <v>41293</v>
      </c>
      <c r="B26" s="27">
        <v>189</v>
      </c>
      <c r="F26" t="s">
        <v>198</v>
      </c>
      <c r="G26">
        <v>3500</v>
      </c>
      <c r="H26">
        <v>10800</v>
      </c>
      <c r="I26" s="16">
        <f t="shared" si="1"/>
        <v>0.72972972972972971</v>
      </c>
    </row>
    <row r="27" spans="1:9" x14ac:dyDescent="0.25">
      <c r="A27" s="26">
        <v>41294</v>
      </c>
      <c r="B27" s="27">
        <v>126</v>
      </c>
      <c r="F27" t="s">
        <v>199</v>
      </c>
      <c r="G27">
        <v>1500</v>
      </c>
      <c r="H27">
        <v>12300</v>
      </c>
      <c r="I27" s="16">
        <f t="shared" si="1"/>
        <v>0.83108108108108103</v>
      </c>
    </row>
    <row r="28" spans="1:9" x14ac:dyDescent="0.25">
      <c r="A28" s="26">
        <v>41295</v>
      </c>
      <c r="B28" s="27">
        <v>108</v>
      </c>
      <c r="F28" t="s">
        <v>200</v>
      </c>
      <c r="G28">
        <v>2500</v>
      </c>
      <c r="H28">
        <v>14800</v>
      </c>
      <c r="I28" s="16">
        <f t="shared" si="1"/>
        <v>1</v>
      </c>
    </row>
    <row r="29" spans="1:9" x14ac:dyDescent="0.25">
      <c r="A29" s="26">
        <v>41296</v>
      </c>
      <c r="B29" s="27">
        <v>100</v>
      </c>
      <c r="I29" s="16"/>
    </row>
    <row r="30" spans="1:9" ht="15.75" thickBot="1" x14ac:dyDescent="0.3">
      <c r="A30" s="26">
        <v>41297</v>
      </c>
      <c r="B30" s="27">
        <v>184</v>
      </c>
    </row>
    <row r="31" spans="1:9" ht="15.75" thickBot="1" x14ac:dyDescent="0.3">
      <c r="A31" s="26">
        <v>41298</v>
      </c>
      <c r="B31" s="27">
        <v>109</v>
      </c>
      <c r="F31" s="35" t="s">
        <v>201</v>
      </c>
      <c r="G31" s="36"/>
      <c r="H31" s="37"/>
    </row>
    <row r="32" spans="1:9" x14ac:dyDescent="0.25">
      <c r="A32" s="26">
        <v>41299</v>
      </c>
      <c r="B32" s="27">
        <v>105</v>
      </c>
      <c r="G32" t="s">
        <v>202</v>
      </c>
      <c r="H32" t="s">
        <v>203</v>
      </c>
    </row>
    <row r="33" spans="1:8" x14ac:dyDescent="0.25">
      <c r="A33" s="26">
        <v>41300</v>
      </c>
      <c r="B33" s="27">
        <v>125</v>
      </c>
      <c r="F33" t="s">
        <v>175</v>
      </c>
      <c r="G33">
        <v>0</v>
      </c>
      <c r="H33">
        <v>5000</v>
      </c>
    </row>
    <row r="34" spans="1:8" x14ac:dyDescent="0.25">
      <c r="A34" s="26">
        <v>41301</v>
      </c>
      <c r="B34" s="27">
        <v>119</v>
      </c>
      <c r="F34" t="s">
        <v>1</v>
      </c>
      <c r="G34">
        <f>SUM(G35:H35)</f>
        <v>4000</v>
      </c>
      <c r="H34">
        <v>1000</v>
      </c>
    </row>
    <row r="35" spans="1:8" x14ac:dyDescent="0.25">
      <c r="A35" s="26">
        <v>41302</v>
      </c>
      <c r="B35" s="27">
        <v>141</v>
      </c>
      <c r="F35" t="s">
        <v>204</v>
      </c>
      <c r="G35">
        <v>0</v>
      </c>
      <c r="H35">
        <v>4000</v>
      </c>
    </row>
    <row r="36" spans="1:8" x14ac:dyDescent="0.25">
      <c r="A36" s="26">
        <v>41303</v>
      </c>
      <c r="B36" s="27">
        <v>110</v>
      </c>
      <c r="F36" t="s">
        <v>205</v>
      </c>
      <c r="G36">
        <f t="shared" ref="G36:G37" si="2">SUM(G37:H37)</f>
        <v>3500</v>
      </c>
      <c r="H36">
        <v>500</v>
      </c>
    </row>
    <row r="37" spans="1:8" x14ac:dyDescent="0.25">
      <c r="A37" s="26">
        <v>41304</v>
      </c>
      <c r="B37" s="27">
        <v>142</v>
      </c>
      <c r="F37" t="s">
        <v>206</v>
      </c>
      <c r="G37">
        <f t="shared" si="2"/>
        <v>2700</v>
      </c>
      <c r="H37">
        <v>800</v>
      </c>
    </row>
    <row r="38" spans="1:8" ht="15.75" thickBot="1" x14ac:dyDescent="0.3">
      <c r="A38" s="29">
        <v>41305</v>
      </c>
      <c r="B38" s="30">
        <v>112</v>
      </c>
      <c r="F38" t="s">
        <v>207</v>
      </c>
      <c r="G38">
        <f>SUM(G39:H39)</f>
        <v>2300</v>
      </c>
      <c r="H38">
        <v>400</v>
      </c>
    </row>
    <row r="39" spans="1:8" x14ac:dyDescent="0.25">
      <c r="A39" s="31"/>
      <c r="F39" t="s">
        <v>208</v>
      </c>
      <c r="G39">
        <v>0</v>
      </c>
      <c r="H39">
        <v>2300</v>
      </c>
    </row>
    <row r="40" spans="1:8" x14ac:dyDescent="0.25">
      <c r="A40" s="31"/>
    </row>
    <row r="41" spans="1:8" x14ac:dyDescent="0.25">
      <c r="A41" s="31"/>
    </row>
    <row r="42" spans="1:8" x14ac:dyDescent="0.25">
      <c r="A42" s="31"/>
    </row>
    <row r="43" spans="1:8" x14ac:dyDescent="0.25">
      <c r="A43" s="31"/>
    </row>
    <row r="44" spans="1:8" x14ac:dyDescent="0.25">
      <c r="A44" s="31"/>
    </row>
    <row r="45" spans="1:8" x14ac:dyDescent="0.25">
      <c r="A45" s="31"/>
    </row>
    <row r="46" spans="1:8" x14ac:dyDescent="0.25">
      <c r="A46" s="31"/>
    </row>
    <row r="47" spans="1:8" x14ac:dyDescent="0.25">
      <c r="A47" s="31"/>
    </row>
    <row r="48" spans="1:8" x14ac:dyDescent="0.25">
      <c r="A48" s="31"/>
    </row>
    <row r="49" spans="1:1" x14ac:dyDescent="0.25">
      <c r="A49" s="31"/>
    </row>
    <row r="50" spans="1:1" x14ac:dyDescent="0.25">
      <c r="A50" s="31"/>
    </row>
    <row r="51" spans="1:1" x14ac:dyDescent="0.25">
      <c r="A51" s="31"/>
    </row>
    <row r="52" spans="1:1" x14ac:dyDescent="0.25">
      <c r="A52" s="31"/>
    </row>
    <row r="53" spans="1:1" x14ac:dyDescent="0.25">
      <c r="A53" s="31"/>
    </row>
    <row r="54" spans="1:1" x14ac:dyDescent="0.25">
      <c r="A54" s="31"/>
    </row>
    <row r="55" spans="1:1" x14ac:dyDescent="0.25">
      <c r="A55" s="31"/>
    </row>
    <row r="56" spans="1:1" x14ac:dyDescent="0.25">
      <c r="A56" s="31"/>
    </row>
    <row r="57" spans="1:1" x14ac:dyDescent="0.25">
      <c r="A57" s="31"/>
    </row>
    <row r="58" spans="1:1" x14ac:dyDescent="0.25">
      <c r="A58" s="31"/>
    </row>
    <row r="59" spans="1:1" x14ac:dyDescent="0.25">
      <c r="A59" s="31"/>
    </row>
    <row r="60" spans="1:1" x14ac:dyDescent="0.25">
      <c r="A60" s="31"/>
    </row>
    <row r="61" spans="1:1" x14ac:dyDescent="0.25">
      <c r="A61" s="31"/>
    </row>
    <row r="62" spans="1:1" x14ac:dyDescent="0.25">
      <c r="A62" s="31"/>
    </row>
    <row r="63" spans="1:1" x14ac:dyDescent="0.25">
      <c r="A63" s="31"/>
    </row>
    <row r="64" spans="1:1" x14ac:dyDescent="0.25">
      <c r="A64" s="31"/>
    </row>
    <row r="65" spans="1:1" x14ac:dyDescent="0.25">
      <c r="A65" s="31"/>
    </row>
    <row r="66" spans="1:1" x14ac:dyDescent="0.25">
      <c r="A66" s="31"/>
    </row>
    <row r="67" spans="1:1" x14ac:dyDescent="0.25">
      <c r="A67" s="31"/>
    </row>
    <row r="68" spans="1:1" x14ac:dyDescent="0.25">
      <c r="A68" s="31"/>
    </row>
    <row r="69" spans="1:1" x14ac:dyDescent="0.25">
      <c r="A69" s="31"/>
    </row>
    <row r="70" spans="1:1" x14ac:dyDescent="0.25">
      <c r="A70" s="31"/>
    </row>
    <row r="71" spans="1:1" x14ac:dyDescent="0.25">
      <c r="A71" s="31"/>
    </row>
    <row r="72" spans="1:1" x14ac:dyDescent="0.25">
      <c r="A72" s="31"/>
    </row>
    <row r="73" spans="1:1" x14ac:dyDescent="0.25">
      <c r="A73" s="31"/>
    </row>
    <row r="74" spans="1:1" x14ac:dyDescent="0.25">
      <c r="A74" s="31"/>
    </row>
    <row r="75" spans="1:1" x14ac:dyDescent="0.25">
      <c r="A75" s="31"/>
    </row>
    <row r="76" spans="1:1" x14ac:dyDescent="0.25">
      <c r="A76" s="31"/>
    </row>
    <row r="77" spans="1:1" x14ac:dyDescent="0.25">
      <c r="A77" s="31"/>
    </row>
    <row r="78" spans="1:1" x14ac:dyDescent="0.25">
      <c r="A78" s="31"/>
    </row>
    <row r="79" spans="1:1" x14ac:dyDescent="0.25">
      <c r="A79" s="31"/>
    </row>
    <row r="80" spans="1:1" x14ac:dyDescent="0.25">
      <c r="A80" s="31"/>
    </row>
    <row r="81" spans="1:1" x14ac:dyDescent="0.25">
      <c r="A81" s="31"/>
    </row>
    <row r="82" spans="1:1" x14ac:dyDescent="0.25">
      <c r="A82" s="31"/>
    </row>
    <row r="83" spans="1:1" x14ac:dyDescent="0.25">
      <c r="A83" s="31"/>
    </row>
    <row r="84" spans="1:1" x14ac:dyDescent="0.25">
      <c r="A84" s="31"/>
    </row>
    <row r="85" spans="1:1" x14ac:dyDescent="0.25">
      <c r="A85" s="31"/>
    </row>
    <row r="86" spans="1:1" x14ac:dyDescent="0.25">
      <c r="A86" s="31"/>
    </row>
    <row r="87" spans="1:1" x14ac:dyDescent="0.25">
      <c r="A87" s="31"/>
    </row>
    <row r="88" spans="1:1" x14ac:dyDescent="0.25">
      <c r="A88" s="31"/>
    </row>
    <row r="89" spans="1:1" x14ac:dyDescent="0.25">
      <c r="A89" s="31"/>
    </row>
    <row r="90" spans="1:1" x14ac:dyDescent="0.25">
      <c r="A90" s="31"/>
    </row>
    <row r="91" spans="1:1" x14ac:dyDescent="0.25">
      <c r="A91" s="31"/>
    </row>
    <row r="92" spans="1:1" x14ac:dyDescent="0.25">
      <c r="A92" s="31"/>
    </row>
    <row r="93" spans="1:1" x14ac:dyDescent="0.25">
      <c r="A93" s="31"/>
    </row>
    <row r="94" spans="1:1" x14ac:dyDescent="0.25">
      <c r="A94" s="31"/>
    </row>
    <row r="95" spans="1:1" x14ac:dyDescent="0.25">
      <c r="A95" s="31"/>
    </row>
    <row r="96" spans="1:1" x14ac:dyDescent="0.25">
      <c r="A96" s="31"/>
    </row>
    <row r="97" spans="1:1" x14ac:dyDescent="0.25">
      <c r="A97" s="31"/>
    </row>
    <row r="98" spans="1:1" x14ac:dyDescent="0.25">
      <c r="A98" s="31"/>
    </row>
    <row r="99" spans="1:1" x14ac:dyDescent="0.25">
      <c r="A99" s="31"/>
    </row>
    <row r="100" spans="1:1" x14ac:dyDescent="0.25">
      <c r="A100" s="31"/>
    </row>
    <row r="101" spans="1:1" x14ac:dyDescent="0.25">
      <c r="A101" s="31"/>
    </row>
    <row r="102" spans="1:1" x14ac:dyDescent="0.25">
      <c r="A102" s="31"/>
    </row>
    <row r="103" spans="1:1" x14ac:dyDescent="0.25">
      <c r="A103" s="31"/>
    </row>
    <row r="104" spans="1:1" x14ac:dyDescent="0.25">
      <c r="A104" s="31"/>
    </row>
    <row r="105" spans="1:1" x14ac:dyDescent="0.25">
      <c r="A105" s="31"/>
    </row>
    <row r="106" spans="1:1" x14ac:dyDescent="0.25">
      <c r="A106" s="31"/>
    </row>
    <row r="107" spans="1:1" x14ac:dyDescent="0.25">
      <c r="A107" s="31"/>
    </row>
    <row r="108" spans="1:1" x14ac:dyDescent="0.25">
      <c r="A108" s="31"/>
    </row>
    <row r="109" spans="1:1" x14ac:dyDescent="0.25">
      <c r="A109" s="31"/>
    </row>
    <row r="110" spans="1:1" x14ac:dyDescent="0.25">
      <c r="A110" s="31"/>
    </row>
    <row r="111" spans="1:1" x14ac:dyDescent="0.25">
      <c r="A111" s="31"/>
    </row>
    <row r="112" spans="1:1" x14ac:dyDescent="0.25">
      <c r="A112" s="31"/>
    </row>
    <row r="113" spans="1:1" x14ac:dyDescent="0.25">
      <c r="A113" s="31"/>
    </row>
    <row r="114" spans="1:1" x14ac:dyDescent="0.25">
      <c r="A114" s="31"/>
    </row>
    <row r="115" spans="1:1" x14ac:dyDescent="0.25">
      <c r="A115" s="31"/>
    </row>
    <row r="116" spans="1:1" x14ac:dyDescent="0.25">
      <c r="A116" s="31"/>
    </row>
    <row r="117" spans="1:1" x14ac:dyDescent="0.25">
      <c r="A117" s="31"/>
    </row>
    <row r="118" spans="1:1" x14ac:dyDescent="0.25">
      <c r="A118" s="31"/>
    </row>
    <row r="119" spans="1:1" x14ac:dyDescent="0.25">
      <c r="A119" s="31"/>
    </row>
    <row r="120" spans="1:1" x14ac:dyDescent="0.25">
      <c r="A120" s="31"/>
    </row>
    <row r="121" spans="1:1" x14ac:dyDescent="0.25">
      <c r="A121" s="31"/>
    </row>
    <row r="122" spans="1:1" x14ac:dyDescent="0.25">
      <c r="A122" s="31"/>
    </row>
    <row r="123" spans="1:1" x14ac:dyDescent="0.25">
      <c r="A123" s="31"/>
    </row>
    <row r="124" spans="1:1" x14ac:dyDescent="0.25">
      <c r="A124" s="31"/>
    </row>
    <row r="125" spans="1:1" x14ac:dyDescent="0.25">
      <c r="A125" s="31"/>
    </row>
    <row r="126" spans="1:1" x14ac:dyDescent="0.25">
      <c r="A126" s="31"/>
    </row>
    <row r="127" spans="1:1" x14ac:dyDescent="0.25">
      <c r="A127" s="31"/>
    </row>
    <row r="128" spans="1:1" x14ac:dyDescent="0.25">
      <c r="A128" s="31"/>
    </row>
    <row r="129" spans="1:1" x14ac:dyDescent="0.25">
      <c r="A129" s="31"/>
    </row>
    <row r="130" spans="1:1" x14ac:dyDescent="0.25">
      <c r="A130" s="31"/>
    </row>
    <row r="131" spans="1:1" x14ac:dyDescent="0.25">
      <c r="A131" s="31"/>
    </row>
    <row r="132" spans="1:1" x14ac:dyDescent="0.25">
      <c r="A132" s="31"/>
    </row>
    <row r="133" spans="1:1" x14ac:dyDescent="0.25">
      <c r="A133" s="31"/>
    </row>
    <row r="134" spans="1:1" x14ac:dyDescent="0.25">
      <c r="A134" s="31"/>
    </row>
    <row r="135" spans="1:1" x14ac:dyDescent="0.25">
      <c r="A135" s="31"/>
    </row>
    <row r="136" spans="1:1" x14ac:dyDescent="0.25">
      <c r="A136" s="31"/>
    </row>
    <row r="137" spans="1:1" x14ac:dyDescent="0.25">
      <c r="A137" s="31"/>
    </row>
    <row r="138" spans="1:1" x14ac:dyDescent="0.25">
      <c r="A138" s="31"/>
    </row>
    <row r="139" spans="1:1" x14ac:dyDescent="0.25">
      <c r="A139" s="31"/>
    </row>
    <row r="140" spans="1:1" x14ac:dyDescent="0.25">
      <c r="A140" s="31"/>
    </row>
    <row r="141" spans="1:1" x14ac:dyDescent="0.25">
      <c r="A141" s="31"/>
    </row>
    <row r="142" spans="1:1" x14ac:dyDescent="0.25">
      <c r="A142" s="31"/>
    </row>
    <row r="143" spans="1:1" x14ac:dyDescent="0.25">
      <c r="A143" s="31"/>
    </row>
    <row r="144" spans="1:1" x14ac:dyDescent="0.25">
      <c r="A144" s="31"/>
    </row>
    <row r="145" spans="1:1" x14ac:dyDescent="0.25">
      <c r="A145" s="31"/>
    </row>
    <row r="146" spans="1:1" x14ac:dyDescent="0.25">
      <c r="A146" s="31"/>
    </row>
    <row r="147" spans="1:1" x14ac:dyDescent="0.25">
      <c r="A147" s="31"/>
    </row>
    <row r="148" spans="1:1" x14ac:dyDescent="0.25">
      <c r="A148" s="31"/>
    </row>
    <row r="149" spans="1:1" x14ac:dyDescent="0.25">
      <c r="A149" s="31"/>
    </row>
    <row r="150" spans="1:1" x14ac:dyDescent="0.25">
      <c r="A150" s="31"/>
    </row>
    <row r="151" spans="1:1" x14ac:dyDescent="0.25">
      <c r="A151" s="31"/>
    </row>
    <row r="152" spans="1:1" x14ac:dyDescent="0.25">
      <c r="A152" s="31"/>
    </row>
    <row r="153" spans="1:1" x14ac:dyDescent="0.25">
      <c r="A153" s="31"/>
    </row>
    <row r="154" spans="1:1" x14ac:dyDescent="0.25">
      <c r="A154" s="31"/>
    </row>
    <row r="155" spans="1:1" x14ac:dyDescent="0.25">
      <c r="A155" s="31"/>
    </row>
    <row r="156" spans="1:1" x14ac:dyDescent="0.25">
      <c r="A156" s="31"/>
    </row>
    <row r="157" spans="1:1" x14ac:dyDescent="0.25">
      <c r="A157" s="31"/>
    </row>
    <row r="158" spans="1:1" x14ac:dyDescent="0.25">
      <c r="A158" s="31"/>
    </row>
    <row r="159" spans="1:1" x14ac:dyDescent="0.25">
      <c r="A159" s="31"/>
    </row>
    <row r="160" spans="1:1" x14ac:dyDescent="0.25">
      <c r="A160" s="31"/>
    </row>
    <row r="161" spans="1:1" x14ac:dyDescent="0.25">
      <c r="A161" s="31"/>
    </row>
    <row r="162" spans="1:1" x14ac:dyDescent="0.25">
      <c r="A162" s="31"/>
    </row>
    <row r="163" spans="1:1" x14ac:dyDescent="0.25">
      <c r="A163" s="31"/>
    </row>
    <row r="164" spans="1:1" x14ac:dyDescent="0.25">
      <c r="A164" s="31"/>
    </row>
    <row r="165" spans="1:1" x14ac:dyDescent="0.25">
      <c r="A165" s="31"/>
    </row>
    <row r="166" spans="1:1" x14ac:dyDescent="0.25">
      <c r="A166" s="31"/>
    </row>
    <row r="167" spans="1:1" x14ac:dyDescent="0.25">
      <c r="A167" s="31"/>
    </row>
    <row r="168" spans="1:1" x14ac:dyDescent="0.25">
      <c r="A168" s="31"/>
    </row>
    <row r="169" spans="1:1" x14ac:dyDescent="0.25">
      <c r="A169" s="31"/>
    </row>
    <row r="170" spans="1:1" x14ac:dyDescent="0.25">
      <c r="A170" s="31"/>
    </row>
    <row r="171" spans="1:1" x14ac:dyDescent="0.25">
      <c r="A171" s="31"/>
    </row>
    <row r="172" spans="1:1" x14ac:dyDescent="0.25">
      <c r="A172" s="31"/>
    </row>
    <row r="173" spans="1:1" x14ac:dyDescent="0.25">
      <c r="A173" s="31"/>
    </row>
    <row r="174" spans="1:1" x14ac:dyDescent="0.25">
      <c r="A174" s="31"/>
    </row>
    <row r="175" spans="1:1" x14ac:dyDescent="0.25">
      <c r="A175" s="31"/>
    </row>
    <row r="176" spans="1:1" x14ac:dyDescent="0.25">
      <c r="A176" s="31"/>
    </row>
    <row r="177" spans="1:1" x14ac:dyDescent="0.25">
      <c r="A177" s="31"/>
    </row>
    <row r="178" spans="1:1" x14ac:dyDescent="0.25">
      <c r="A178" s="31"/>
    </row>
    <row r="179" spans="1:1" x14ac:dyDescent="0.25">
      <c r="A179" s="31"/>
    </row>
    <row r="180" spans="1:1" x14ac:dyDescent="0.25">
      <c r="A180" s="31"/>
    </row>
    <row r="181" spans="1:1" x14ac:dyDescent="0.25">
      <c r="A181" s="31"/>
    </row>
    <row r="182" spans="1:1" x14ac:dyDescent="0.25">
      <c r="A182" s="31"/>
    </row>
    <row r="183" spans="1:1" x14ac:dyDescent="0.25">
      <c r="A183" s="31"/>
    </row>
    <row r="184" spans="1:1" x14ac:dyDescent="0.25">
      <c r="A184" s="31"/>
    </row>
    <row r="185" spans="1:1" x14ac:dyDescent="0.25">
      <c r="A185" s="31"/>
    </row>
    <row r="186" spans="1:1" x14ac:dyDescent="0.25">
      <c r="A186" s="31"/>
    </row>
    <row r="187" spans="1:1" x14ac:dyDescent="0.25">
      <c r="A187" s="31"/>
    </row>
    <row r="188" spans="1:1" x14ac:dyDescent="0.25">
      <c r="A188" s="31"/>
    </row>
  </sheetData>
  <mergeCells count="3">
    <mergeCell ref="E6:I6"/>
    <mergeCell ref="F20:I20"/>
    <mergeCell ref="F31:H31"/>
  </mergeCells>
  <pageMargins left="0.7" right="0.7" top="0.75" bottom="0.75" header="0.3" footer="0.3"/>
  <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/>
  <dimension ref="A1:H94"/>
  <sheetViews>
    <sheetView zoomScaleNormal="100" workbookViewId="0"/>
  </sheetViews>
  <sheetFormatPr defaultRowHeight="15" x14ac:dyDescent="0.25"/>
  <cols>
    <col min="1" max="1" width="12.42578125" customWidth="1"/>
  </cols>
  <sheetData>
    <row r="1" spans="1:8" x14ac:dyDescent="0.25">
      <c r="A1" s="2" t="s">
        <v>154</v>
      </c>
      <c r="B1" s="2" t="s">
        <v>0</v>
      </c>
      <c r="C1" s="2" t="s">
        <v>1</v>
      </c>
      <c r="D1" s="2" t="s">
        <v>155</v>
      </c>
      <c r="E1" s="2" t="s">
        <v>39</v>
      </c>
      <c r="F1" s="2" t="s">
        <v>156</v>
      </c>
      <c r="G1" s="2" t="s">
        <v>5</v>
      </c>
      <c r="H1" s="2" t="s">
        <v>157</v>
      </c>
    </row>
    <row r="2" spans="1:8" x14ac:dyDescent="0.25">
      <c r="A2" s="19" t="s">
        <v>158</v>
      </c>
      <c r="B2">
        <v>10000</v>
      </c>
      <c r="C2">
        <f>B2*40%</f>
        <v>4000</v>
      </c>
      <c r="D2">
        <f>B2-C2</f>
        <v>6000</v>
      </c>
      <c r="E2">
        <f>B2*15%</f>
        <v>1500</v>
      </c>
      <c r="F2">
        <f>B2*8%</f>
        <v>800</v>
      </c>
      <c r="G2">
        <f>B2*12%</f>
        <v>1200</v>
      </c>
      <c r="H2">
        <f>D2-E2-F2-G2</f>
        <v>2500</v>
      </c>
    </row>
    <row r="3" spans="1:8" x14ac:dyDescent="0.25">
      <c r="A3" t="s">
        <v>159</v>
      </c>
      <c r="B3">
        <v>12000</v>
      </c>
      <c r="C3">
        <f t="shared" ref="C3:C10" si="0">B3*40%</f>
        <v>4800</v>
      </c>
      <c r="D3">
        <f t="shared" ref="D3:D10" si="1">B3-C3</f>
        <v>7200</v>
      </c>
      <c r="E3">
        <f t="shared" ref="E3:E10" si="2">B3*15%</f>
        <v>1800</v>
      </c>
      <c r="F3">
        <f t="shared" ref="F3:F10" si="3">B3*8%</f>
        <v>960</v>
      </c>
      <c r="G3">
        <f t="shared" ref="G3:G10" si="4">B3*12%</f>
        <v>1440</v>
      </c>
      <c r="H3">
        <f t="shared" ref="H3:H10" si="5">D3-E3-F3-G3</f>
        <v>3000</v>
      </c>
    </row>
    <row r="4" spans="1:8" x14ac:dyDescent="0.25">
      <c r="A4" t="s">
        <v>160</v>
      </c>
      <c r="B4">
        <v>14000</v>
      </c>
      <c r="C4">
        <f t="shared" si="0"/>
        <v>5600</v>
      </c>
      <c r="D4">
        <f t="shared" si="1"/>
        <v>8400</v>
      </c>
      <c r="E4">
        <f t="shared" si="2"/>
        <v>2100</v>
      </c>
      <c r="F4">
        <f t="shared" si="3"/>
        <v>1120</v>
      </c>
      <c r="G4">
        <f t="shared" si="4"/>
        <v>1680</v>
      </c>
      <c r="H4">
        <f t="shared" si="5"/>
        <v>3500</v>
      </c>
    </row>
    <row r="5" spans="1:8" x14ac:dyDescent="0.25">
      <c r="A5" t="s">
        <v>161</v>
      </c>
      <c r="B5">
        <v>16000</v>
      </c>
      <c r="C5">
        <f t="shared" si="0"/>
        <v>6400</v>
      </c>
      <c r="D5">
        <f t="shared" si="1"/>
        <v>9600</v>
      </c>
      <c r="E5">
        <f t="shared" si="2"/>
        <v>2400</v>
      </c>
      <c r="F5">
        <f t="shared" si="3"/>
        <v>1280</v>
      </c>
      <c r="G5">
        <f t="shared" si="4"/>
        <v>1920</v>
      </c>
      <c r="H5">
        <f t="shared" si="5"/>
        <v>4000</v>
      </c>
    </row>
    <row r="6" spans="1:8" x14ac:dyDescent="0.25">
      <c r="A6" t="s">
        <v>162</v>
      </c>
      <c r="B6">
        <v>18000</v>
      </c>
      <c r="C6">
        <f t="shared" si="0"/>
        <v>7200</v>
      </c>
      <c r="D6">
        <f t="shared" si="1"/>
        <v>10800</v>
      </c>
      <c r="E6">
        <f t="shared" si="2"/>
        <v>2700</v>
      </c>
      <c r="F6">
        <f t="shared" si="3"/>
        <v>1440</v>
      </c>
      <c r="G6">
        <f t="shared" si="4"/>
        <v>2160</v>
      </c>
      <c r="H6">
        <f t="shared" si="5"/>
        <v>4500</v>
      </c>
    </row>
    <row r="7" spans="1:8" x14ac:dyDescent="0.25">
      <c r="A7" t="s">
        <v>163</v>
      </c>
      <c r="B7">
        <v>20000</v>
      </c>
      <c r="C7">
        <f t="shared" si="0"/>
        <v>8000</v>
      </c>
      <c r="D7">
        <f t="shared" si="1"/>
        <v>12000</v>
      </c>
      <c r="E7">
        <f t="shared" si="2"/>
        <v>3000</v>
      </c>
      <c r="F7">
        <f t="shared" si="3"/>
        <v>1600</v>
      </c>
      <c r="G7">
        <f t="shared" si="4"/>
        <v>2400</v>
      </c>
      <c r="H7">
        <f t="shared" si="5"/>
        <v>5000</v>
      </c>
    </row>
    <row r="8" spans="1:8" x14ac:dyDescent="0.25">
      <c r="A8" t="s">
        <v>164</v>
      </c>
      <c r="B8">
        <v>22000</v>
      </c>
      <c r="C8">
        <f t="shared" si="0"/>
        <v>8800</v>
      </c>
      <c r="D8">
        <f t="shared" si="1"/>
        <v>13200</v>
      </c>
      <c r="E8">
        <f t="shared" si="2"/>
        <v>3300</v>
      </c>
      <c r="F8">
        <f t="shared" si="3"/>
        <v>1760</v>
      </c>
      <c r="G8">
        <f t="shared" si="4"/>
        <v>2640</v>
      </c>
      <c r="H8">
        <f t="shared" si="5"/>
        <v>5500</v>
      </c>
    </row>
    <row r="9" spans="1:8" x14ac:dyDescent="0.25">
      <c r="A9" t="s">
        <v>165</v>
      </c>
      <c r="B9">
        <v>24000</v>
      </c>
      <c r="C9">
        <f t="shared" si="0"/>
        <v>9600</v>
      </c>
      <c r="D9">
        <f t="shared" si="1"/>
        <v>14400</v>
      </c>
      <c r="E9">
        <f t="shared" si="2"/>
        <v>3600</v>
      </c>
      <c r="F9">
        <f t="shared" si="3"/>
        <v>1920</v>
      </c>
      <c r="G9">
        <f t="shared" si="4"/>
        <v>2880</v>
      </c>
      <c r="H9">
        <f t="shared" si="5"/>
        <v>6000</v>
      </c>
    </row>
    <row r="10" spans="1:8" x14ac:dyDescent="0.25">
      <c r="A10" t="s">
        <v>171</v>
      </c>
      <c r="B10">
        <v>26000</v>
      </c>
      <c r="C10">
        <f t="shared" si="0"/>
        <v>10400</v>
      </c>
      <c r="D10">
        <f t="shared" si="1"/>
        <v>15600</v>
      </c>
      <c r="E10">
        <f t="shared" si="2"/>
        <v>3900</v>
      </c>
      <c r="F10">
        <f t="shared" si="3"/>
        <v>2080</v>
      </c>
      <c r="G10">
        <f t="shared" si="4"/>
        <v>3120</v>
      </c>
      <c r="H10">
        <f t="shared" si="5"/>
        <v>6500</v>
      </c>
    </row>
    <row r="13" spans="1:8" x14ac:dyDescent="0.25">
      <c r="A13">
        <v>8</v>
      </c>
      <c r="B13">
        <v>4</v>
      </c>
      <c r="C13">
        <v>1</v>
      </c>
      <c r="D13">
        <v>1</v>
      </c>
      <c r="E13">
        <v>1</v>
      </c>
    </row>
    <row r="15" spans="1:8" x14ac:dyDescent="0.25">
      <c r="A15" s="2" t="s">
        <v>154</v>
      </c>
      <c r="B15" s="2" t="s">
        <v>0</v>
      </c>
      <c r="C15" s="2" t="s">
        <v>1</v>
      </c>
      <c r="D15" s="2" t="s">
        <v>155</v>
      </c>
      <c r="E15" s="2" t="s">
        <v>39</v>
      </c>
      <c r="F15" s="2" t="s">
        <v>156</v>
      </c>
      <c r="G15" s="2" t="s">
        <v>5</v>
      </c>
      <c r="H15" s="2" t="s">
        <v>157</v>
      </c>
    </row>
    <row r="16" spans="1:8" x14ac:dyDescent="0.25">
      <c r="A16" t="str">
        <f>CHOOSE($E$13,A$2,A$3,A$4,A$5,A$6,A$7,A$8,A$9,A$10)</f>
        <v>INDIA</v>
      </c>
      <c r="B16">
        <f t="shared" ref="B16:H16" si="6">CHOOSE($E$13,B$2,B$3,B$4,B$5,B$6,B$7,B$8,B$9,B$10)</f>
        <v>10000</v>
      </c>
      <c r="C16">
        <f t="shared" si="6"/>
        <v>4000</v>
      </c>
      <c r="D16">
        <f t="shared" si="6"/>
        <v>6000</v>
      </c>
      <c r="E16">
        <f t="shared" si="6"/>
        <v>1500</v>
      </c>
      <c r="F16">
        <f t="shared" si="6"/>
        <v>800</v>
      </c>
      <c r="G16">
        <f t="shared" si="6"/>
        <v>1200</v>
      </c>
      <c r="H16">
        <f t="shared" si="6"/>
        <v>2500</v>
      </c>
    </row>
    <row r="81" spans="1:3" x14ac:dyDescent="0.25">
      <c r="A81" s="2" t="s">
        <v>154</v>
      </c>
      <c r="B81" s="2" t="s">
        <v>0</v>
      </c>
      <c r="C81" s="2" t="s">
        <v>1</v>
      </c>
    </row>
    <row r="82" spans="1:3" x14ac:dyDescent="0.25">
      <c r="A82" t="s">
        <v>158</v>
      </c>
      <c r="B82">
        <v>10000</v>
      </c>
      <c r="C82">
        <v>6000</v>
      </c>
    </row>
    <row r="83" spans="1:3" x14ac:dyDescent="0.25">
      <c r="A83" t="s">
        <v>159</v>
      </c>
      <c r="B83">
        <v>12000</v>
      </c>
      <c r="C83">
        <v>3000</v>
      </c>
    </row>
    <row r="84" spans="1:3" x14ac:dyDescent="0.25">
      <c r="A84" t="s">
        <v>160</v>
      </c>
      <c r="B84">
        <v>14000</v>
      </c>
      <c r="C84">
        <v>12000</v>
      </c>
    </row>
    <row r="85" spans="1:3" x14ac:dyDescent="0.25">
      <c r="A85" t="s">
        <v>161</v>
      </c>
      <c r="B85">
        <v>16000</v>
      </c>
      <c r="C85">
        <f t="shared" ref="C85:C86" si="7">B85*40%</f>
        <v>6400</v>
      </c>
    </row>
    <row r="86" spans="1:3" x14ac:dyDescent="0.25">
      <c r="A86" t="s">
        <v>162</v>
      </c>
      <c r="B86">
        <v>18000</v>
      </c>
      <c r="C86">
        <f t="shared" si="7"/>
        <v>7200</v>
      </c>
    </row>
    <row r="90" spans="1:3" x14ac:dyDescent="0.25">
      <c r="A90" s="20" t="s">
        <v>166</v>
      </c>
    </row>
    <row r="91" spans="1:3" x14ac:dyDescent="0.25">
      <c r="A91" s="20" t="s">
        <v>167</v>
      </c>
    </row>
    <row r="92" spans="1:3" x14ac:dyDescent="0.25">
      <c r="A92" s="20" t="s">
        <v>168</v>
      </c>
    </row>
    <row r="93" spans="1:3" x14ac:dyDescent="0.25">
      <c r="A93" s="20" t="s">
        <v>169</v>
      </c>
    </row>
    <row r="94" spans="1:3" x14ac:dyDescent="0.25">
      <c r="A94" s="20" t="s">
        <v>170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2" r:id="rId4" name="List Box 2">
              <controlPr defaultSize="0" autoLine="0" autoPict="0">
                <anchor moveWithCells="1">
                  <from>
                    <xdr:col>6</xdr:col>
                    <xdr:colOff>447675</xdr:colOff>
                    <xdr:row>19</xdr:row>
                    <xdr:rowOff>161925</xdr:rowOff>
                  </from>
                  <to>
                    <xdr:col>7</xdr:col>
                    <xdr:colOff>542925</xdr:colOff>
                    <xdr:row>24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3" r:id="rId5" name="Drop Down 3">
              <controlPr defaultSize="0" autoLine="0" autoPict="0">
                <anchor moveWithCells="1">
                  <from>
                    <xdr:col>8</xdr:col>
                    <xdr:colOff>228600</xdr:colOff>
                    <xdr:row>20</xdr:row>
                    <xdr:rowOff>28575</xdr:rowOff>
                  </from>
                  <to>
                    <xdr:col>9</xdr:col>
                    <xdr:colOff>85725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4" r:id="rId6" name="Option Button 4">
              <controlPr defaultSize="0" autoFill="0" autoLine="0" autoPict="0">
                <anchor moveWithCells="1">
                  <from>
                    <xdr:col>9</xdr:col>
                    <xdr:colOff>361950</xdr:colOff>
                    <xdr:row>20</xdr:row>
                    <xdr:rowOff>9525</xdr:rowOff>
                  </from>
                  <to>
                    <xdr:col>10</xdr:col>
                    <xdr:colOff>485775</xdr:colOff>
                    <xdr:row>21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5" r:id="rId7" name="Option Button 5">
              <controlPr defaultSize="0" autoFill="0" autoLine="0" autoPict="0">
                <anchor moveWithCells="1">
                  <from>
                    <xdr:col>8</xdr:col>
                    <xdr:colOff>180975</xdr:colOff>
                    <xdr:row>23</xdr:row>
                    <xdr:rowOff>85725</xdr:rowOff>
                  </from>
                  <to>
                    <xdr:col>9</xdr:col>
                    <xdr:colOff>304800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6" r:id="rId8" name="Option Button 6">
              <controlPr defaultSize="0" autoFill="0" autoLine="0" autoPict="0">
                <anchor moveWithCells="1">
                  <from>
                    <xdr:col>9</xdr:col>
                    <xdr:colOff>466725</xdr:colOff>
                    <xdr:row>23</xdr:row>
                    <xdr:rowOff>66675</xdr:rowOff>
                  </from>
                  <to>
                    <xdr:col>10</xdr:col>
                    <xdr:colOff>590550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7" r:id="rId9" name="Option Button 7">
              <controlPr defaultSize="0" autoFill="0" autoLine="0" autoPict="0">
                <anchor moveWithCells="1">
                  <from>
                    <xdr:col>8</xdr:col>
                    <xdr:colOff>285750</xdr:colOff>
                    <xdr:row>25</xdr:row>
                    <xdr:rowOff>104775</xdr:rowOff>
                  </from>
                  <to>
                    <xdr:col>9</xdr:col>
                    <xdr:colOff>409575</xdr:colOff>
                    <xdr:row>27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8" r:id="rId10" name="Spinner 8">
              <controlPr defaultSize="0" autoPict="0">
                <anchor moveWithCells="1" sizeWithCells="1">
                  <from>
                    <xdr:col>6</xdr:col>
                    <xdr:colOff>219075</xdr:colOff>
                    <xdr:row>25</xdr:row>
                    <xdr:rowOff>95250</xdr:rowOff>
                  </from>
                  <to>
                    <xdr:col>7</xdr:col>
                    <xdr:colOff>200025</xdr:colOff>
                    <xdr:row>29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9" r:id="rId11" name="Scroll Bar 9">
              <controlPr defaultSize="0" autoPict="0">
                <anchor moveWithCells="1">
                  <from>
                    <xdr:col>7</xdr:col>
                    <xdr:colOff>495300</xdr:colOff>
                    <xdr:row>25</xdr:row>
                    <xdr:rowOff>66675</xdr:rowOff>
                  </from>
                  <to>
                    <xdr:col>8</xdr:col>
                    <xdr:colOff>123825</xdr:colOff>
                    <xdr:row>29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F4"/>
  <sheetViews>
    <sheetView zoomScale="190" zoomScaleNormal="190" workbookViewId="0">
      <selection activeCell="H11" sqref="H11"/>
    </sheetView>
  </sheetViews>
  <sheetFormatPr defaultRowHeight="15" x14ac:dyDescent="0.25"/>
  <cols>
    <col min="1" max="1" width="7.5703125" bestFit="1" customWidth="1"/>
    <col min="2" max="2" width="8.140625" bestFit="1" customWidth="1"/>
    <col min="3" max="3" width="4.5703125" bestFit="1" customWidth="1"/>
    <col min="4" max="4" width="10.140625" bestFit="1" customWidth="1"/>
    <col min="5" max="5" width="11.28515625" bestFit="1" customWidth="1"/>
    <col min="6" max="6" width="29.140625" bestFit="1" customWidth="1"/>
  </cols>
  <sheetData>
    <row r="1" spans="1:6" x14ac:dyDescent="0.25">
      <c r="A1" s="4" t="s">
        <v>132</v>
      </c>
      <c r="B1" s="4" t="s">
        <v>209</v>
      </c>
      <c r="C1" s="4" t="s">
        <v>210</v>
      </c>
      <c r="D1" s="4" t="s">
        <v>211</v>
      </c>
      <c r="E1" s="4" t="s">
        <v>212</v>
      </c>
      <c r="F1" s="4" t="s">
        <v>213</v>
      </c>
    </row>
    <row r="2" spans="1:6" x14ac:dyDescent="0.25">
      <c r="A2" t="s">
        <v>218</v>
      </c>
      <c r="B2" t="s">
        <v>219</v>
      </c>
      <c r="C2">
        <v>26</v>
      </c>
      <c r="D2" t="s">
        <v>216</v>
      </c>
      <c r="E2" t="s">
        <v>220</v>
      </c>
      <c r="F2" t="s">
        <v>221</v>
      </c>
    </row>
    <row r="3" spans="1:6" x14ac:dyDescent="0.25">
      <c r="A3" t="s">
        <v>222</v>
      </c>
      <c r="B3" t="s">
        <v>219</v>
      </c>
      <c r="C3">
        <v>35</v>
      </c>
      <c r="D3" t="s">
        <v>214</v>
      </c>
      <c r="E3" t="s">
        <v>223</v>
      </c>
      <c r="F3" t="s">
        <v>224</v>
      </c>
    </row>
    <row r="4" spans="1:6" x14ac:dyDescent="0.25">
      <c r="A4" t="s">
        <v>225</v>
      </c>
      <c r="B4" t="s">
        <v>226</v>
      </c>
      <c r="C4">
        <v>26</v>
      </c>
      <c r="D4" t="s">
        <v>216</v>
      </c>
      <c r="E4" t="s">
        <v>227</v>
      </c>
      <c r="F4" t="s">
        <v>228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/>
  <dimension ref="A2:C44"/>
  <sheetViews>
    <sheetView zoomScale="160" zoomScaleNormal="160" workbookViewId="0"/>
  </sheetViews>
  <sheetFormatPr defaultRowHeight="15" x14ac:dyDescent="0.25"/>
  <sheetData>
    <row r="2" spans="1:3" x14ac:dyDescent="0.25">
      <c r="A2">
        <v>18</v>
      </c>
      <c r="C2" t="s">
        <v>214</v>
      </c>
    </row>
    <row r="3" spans="1:3" x14ac:dyDescent="0.25">
      <c r="A3">
        <v>19</v>
      </c>
      <c r="C3" t="s">
        <v>215</v>
      </c>
    </row>
    <row r="4" spans="1:3" x14ac:dyDescent="0.25">
      <c r="A4">
        <v>20</v>
      </c>
      <c r="C4" t="s">
        <v>216</v>
      </c>
    </row>
    <row r="5" spans="1:3" x14ac:dyDescent="0.25">
      <c r="A5">
        <v>21</v>
      </c>
      <c r="C5" t="s">
        <v>217</v>
      </c>
    </row>
    <row r="6" spans="1:3" x14ac:dyDescent="0.25">
      <c r="A6">
        <v>22</v>
      </c>
    </row>
    <row r="7" spans="1:3" x14ac:dyDescent="0.25">
      <c r="A7">
        <v>23</v>
      </c>
    </row>
    <row r="8" spans="1:3" x14ac:dyDescent="0.25">
      <c r="A8">
        <v>24</v>
      </c>
    </row>
    <row r="9" spans="1:3" x14ac:dyDescent="0.25">
      <c r="A9">
        <v>25</v>
      </c>
    </row>
    <row r="10" spans="1:3" x14ac:dyDescent="0.25">
      <c r="A10">
        <v>26</v>
      </c>
    </row>
    <row r="11" spans="1:3" x14ac:dyDescent="0.25">
      <c r="A11">
        <v>27</v>
      </c>
    </row>
    <row r="12" spans="1:3" x14ac:dyDescent="0.25">
      <c r="A12">
        <v>28</v>
      </c>
    </row>
    <row r="13" spans="1:3" x14ac:dyDescent="0.25">
      <c r="A13">
        <v>29</v>
      </c>
    </row>
    <row r="14" spans="1:3" x14ac:dyDescent="0.25">
      <c r="A14">
        <v>30</v>
      </c>
    </row>
    <row r="15" spans="1:3" x14ac:dyDescent="0.25">
      <c r="A15">
        <v>31</v>
      </c>
    </row>
    <row r="16" spans="1:3" x14ac:dyDescent="0.25">
      <c r="A16">
        <v>32</v>
      </c>
    </row>
    <row r="17" spans="1:1" x14ac:dyDescent="0.25">
      <c r="A17">
        <v>33</v>
      </c>
    </row>
    <row r="18" spans="1:1" x14ac:dyDescent="0.25">
      <c r="A18">
        <v>34</v>
      </c>
    </row>
    <row r="19" spans="1:1" x14ac:dyDescent="0.25">
      <c r="A19">
        <v>35</v>
      </c>
    </row>
    <row r="20" spans="1:1" x14ac:dyDescent="0.25">
      <c r="A20">
        <v>36</v>
      </c>
    </row>
    <row r="21" spans="1:1" x14ac:dyDescent="0.25">
      <c r="A21">
        <v>37</v>
      </c>
    </row>
    <row r="22" spans="1:1" x14ac:dyDescent="0.25">
      <c r="A22">
        <v>38</v>
      </c>
    </row>
    <row r="23" spans="1:1" x14ac:dyDescent="0.25">
      <c r="A23">
        <v>39</v>
      </c>
    </row>
    <row r="24" spans="1:1" x14ac:dyDescent="0.25">
      <c r="A24">
        <v>40</v>
      </c>
    </row>
    <row r="25" spans="1:1" x14ac:dyDescent="0.25">
      <c r="A25">
        <v>41</v>
      </c>
    </row>
    <row r="26" spans="1:1" x14ac:dyDescent="0.25">
      <c r="A26">
        <v>42</v>
      </c>
    </row>
    <row r="27" spans="1:1" x14ac:dyDescent="0.25">
      <c r="A27">
        <v>43</v>
      </c>
    </row>
    <row r="28" spans="1:1" x14ac:dyDescent="0.25">
      <c r="A28">
        <v>44</v>
      </c>
    </row>
    <row r="29" spans="1:1" x14ac:dyDescent="0.25">
      <c r="A29">
        <v>45</v>
      </c>
    </row>
    <row r="30" spans="1:1" x14ac:dyDescent="0.25">
      <c r="A30">
        <v>46</v>
      </c>
    </row>
    <row r="31" spans="1:1" x14ac:dyDescent="0.25">
      <c r="A31">
        <v>47</v>
      </c>
    </row>
    <row r="32" spans="1:1" x14ac:dyDescent="0.25">
      <c r="A32">
        <v>48</v>
      </c>
    </row>
    <row r="33" spans="1:1" x14ac:dyDescent="0.25">
      <c r="A33">
        <v>49</v>
      </c>
    </row>
    <row r="34" spans="1:1" x14ac:dyDescent="0.25">
      <c r="A34">
        <v>50</v>
      </c>
    </row>
    <row r="35" spans="1:1" x14ac:dyDescent="0.25">
      <c r="A35">
        <v>51</v>
      </c>
    </row>
    <row r="36" spans="1:1" x14ac:dyDescent="0.25">
      <c r="A36">
        <v>52</v>
      </c>
    </row>
    <row r="37" spans="1:1" x14ac:dyDescent="0.25">
      <c r="A37">
        <v>53</v>
      </c>
    </row>
    <row r="38" spans="1:1" x14ac:dyDescent="0.25">
      <c r="A38">
        <v>54</v>
      </c>
    </row>
    <row r="39" spans="1:1" x14ac:dyDescent="0.25">
      <c r="A39">
        <v>55</v>
      </c>
    </row>
    <row r="40" spans="1:1" x14ac:dyDescent="0.25">
      <c r="A40">
        <v>56</v>
      </c>
    </row>
    <row r="41" spans="1:1" x14ac:dyDescent="0.25">
      <c r="A41">
        <v>57</v>
      </c>
    </row>
    <row r="42" spans="1:1" x14ac:dyDescent="0.25">
      <c r="A42">
        <v>58</v>
      </c>
    </row>
    <row r="43" spans="1:1" x14ac:dyDescent="0.25">
      <c r="A43">
        <v>59</v>
      </c>
    </row>
    <row r="44" spans="1:1" x14ac:dyDescent="0.25">
      <c r="A44">
        <v>60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2</vt:i4>
      </vt:variant>
    </vt:vector>
  </HeadingPairs>
  <TitlesOfParts>
    <vt:vector size="25" baseType="lpstr">
      <vt:lpstr>Sheet1</vt:lpstr>
      <vt:lpstr>INFO</vt:lpstr>
      <vt:lpstr>Sheet3</vt:lpstr>
      <vt:lpstr>Sheet2</vt:lpstr>
      <vt:lpstr>JAN</vt:lpstr>
      <vt:lpstr>FEB</vt:lpstr>
      <vt:lpstr>MAR</vt:lpstr>
      <vt:lpstr>CONSOL</vt:lpstr>
      <vt:lpstr>Sheet4</vt:lpstr>
      <vt:lpstr>Sheet5</vt:lpstr>
      <vt:lpstr>Sheet6</vt:lpstr>
      <vt:lpstr>Sheet7</vt:lpstr>
      <vt:lpstr>Sheet8</vt:lpstr>
      <vt:lpstr>Sheet9</vt:lpstr>
      <vt:lpstr>Sheet10</vt:lpstr>
      <vt:lpstr>LIST</vt:lpstr>
      <vt:lpstr>Sheet11</vt:lpstr>
      <vt:lpstr>Sheet12</vt:lpstr>
      <vt:lpstr>MARCH</vt:lpstr>
      <vt:lpstr>Chart Data</vt:lpstr>
      <vt:lpstr>DASHBOARD</vt:lpstr>
      <vt:lpstr>USRFORM</vt:lpstr>
      <vt:lpstr>NAMERNG</vt:lpstr>
      <vt:lpstr>AGG</vt:lpstr>
      <vt:lpstr>CITI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2020-04-01T04:19:33Z</dcterms:modified>
</cp:coreProperties>
</file>