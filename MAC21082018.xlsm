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filterPrivacy="1" codeName="ThisWorkbook" defaultThemeVersion="124226"/>
  <xr:revisionPtr revIDLastSave="0" documentId="13_ncr:1_{E7002F1C-E07F-4A9B-BCC0-B4777D559001}" xr6:coauthVersionLast="45" xr6:coauthVersionMax="45" xr10:uidLastSave="{00000000-0000-0000-0000-000000000000}"/>
  <bookViews>
    <workbookView xWindow="-120" yWindow="-120" windowWidth="20730" windowHeight="11160" tabRatio="943" activeTab="8" xr2:uid="{00000000-000D-0000-FFFF-FFFF00000000}"/>
  </bookViews>
  <sheets>
    <sheet name="Sheet1" sheetId="1" r:id="rId1"/>
    <sheet name="INFO" sheetId="2" r:id="rId2"/>
    <sheet name="Sheet3" sheetId="3" r:id="rId3"/>
    <sheet name="Sheet2" sheetId="4" r:id="rId4"/>
    <sheet name="JAN" sheetId="5" r:id="rId5"/>
    <sheet name="FEB" sheetId="7" r:id="rId6"/>
    <sheet name="MAR" sheetId="8" r:id="rId7"/>
    <sheet name="CONSOL" sheetId="6" r:id="rId8"/>
    <sheet name="LOOP" sheetId="9" r:id="rId9"/>
    <sheet name="LOOP1" sheetId="10" r:id="rId10"/>
    <sheet name="IFLOOP" sheetId="11" r:id="rId11"/>
    <sheet name="DOWHILE" sheetId="12" r:id="rId12"/>
    <sheet name="IF DO WHILE" sheetId="13" r:id="rId13"/>
    <sheet name="FOR_NEXT_LOOP" sheetId="14" r:id="rId14"/>
    <sheet name="FOR_NEXT_IF" sheetId="15" r:id="rId15"/>
    <sheet name="NESTED_IF_FOENEXT" sheetId="16" r:id="rId16"/>
    <sheet name="FOR_EACH_NEXT" sheetId="17" r:id="rId17"/>
    <sheet name="LIST" sheetId="18" r:id="rId18"/>
    <sheet name="REPLACENAME" sheetId="19" r:id="rId19"/>
    <sheet name="FORMULA" sheetId="20" r:id="rId20"/>
    <sheet name="VLOOKUP" sheetId="21" r:id="rId21"/>
    <sheet name="UDF" sheetId="22" r:id="rId22"/>
    <sheet name="Dashboard" sheetId="23" r:id="rId23"/>
    <sheet name="DATAENTRY" sheetId="24" r:id="rId24"/>
  </sheets>
  <functionGroups builtInGroupCount="19"/>
  <externalReferences>
    <externalReference r:id="rId25"/>
  </externalReferences>
  <definedNames>
    <definedName name="AGGE">DATAENTRY!$N$2:$N$44</definedName>
    <definedName name="CITI">DATAENTRY!$P$1:$P$4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7" i="23" l="1"/>
  <c r="B67" i="23"/>
  <c r="B85" i="23" l="1"/>
  <c r="A85" i="23"/>
  <c r="G81" i="23"/>
  <c r="G85" i="23" s="1"/>
  <c r="F81" i="23"/>
  <c r="F85" i="23" s="1"/>
  <c r="E81" i="23"/>
  <c r="E85" i="23" s="1"/>
  <c r="C81" i="23"/>
  <c r="D81" i="23" s="1"/>
  <c r="G80" i="23"/>
  <c r="F80" i="23"/>
  <c r="E80" i="23"/>
  <c r="C80" i="23"/>
  <c r="D80" i="23" s="1"/>
  <c r="G79" i="23"/>
  <c r="F79" i="23"/>
  <c r="E79" i="23"/>
  <c r="C79" i="23"/>
  <c r="D79" i="23" s="1"/>
  <c r="G78" i="23"/>
  <c r="F78" i="23"/>
  <c r="E78" i="23"/>
  <c r="C78" i="23"/>
  <c r="D78" i="23" s="1"/>
  <c r="G77" i="23"/>
  <c r="F77" i="23"/>
  <c r="E77" i="23"/>
  <c r="C77" i="23"/>
  <c r="D77" i="23" s="1"/>
  <c r="G76" i="23"/>
  <c r="F76" i="23"/>
  <c r="E76" i="23"/>
  <c r="C76" i="23"/>
  <c r="D76" i="23" s="1"/>
  <c r="G75" i="23"/>
  <c r="F75" i="23"/>
  <c r="E75" i="23"/>
  <c r="C75" i="23"/>
  <c r="D75" i="23" s="1"/>
  <c r="G74" i="23"/>
  <c r="F74" i="23"/>
  <c r="E74" i="23"/>
  <c r="C74" i="23"/>
  <c r="D74" i="23" s="1"/>
  <c r="G73" i="23"/>
  <c r="F73" i="23"/>
  <c r="E73" i="23"/>
  <c r="C73" i="23"/>
  <c r="D73" i="23" s="1"/>
  <c r="G63" i="23"/>
  <c r="F63" i="23"/>
  <c r="E63" i="23"/>
  <c r="C63" i="23"/>
  <c r="D63" i="23" s="1"/>
  <c r="G62" i="23"/>
  <c r="G67" i="23" s="1"/>
  <c r="F62" i="23"/>
  <c r="F67" i="23" s="1"/>
  <c r="E62" i="23"/>
  <c r="E67" i="23" s="1"/>
  <c r="C62" i="23"/>
  <c r="G61" i="23"/>
  <c r="F61" i="23"/>
  <c r="E61" i="23"/>
  <c r="C61" i="23"/>
  <c r="D61" i="23" s="1"/>
  <c r="G60" i="23"/>
  <c r="F60" i="23"/>
  <c r="E60" i="23"/>
  <c r="D60" i="23"/>
  <c r="C60" i="23"/>
  <c r="G59" i="23"/>
  <c r="F59" i="23"/>
  <c r="E59" i="23"/>
  <c r="C59" i="23"/>
  <c r="D59" i="23" s="1"/>
  <c r="G58" i="23"/>
  <c r="F58" i="23"/>
  <c r="E58" i="23"/>
  <c r="C58" i="23"/>
  <c r="D58" i="23" s="1"/>
  <c r="G57" i="23"/>
  <c r="F57" i="23"/>
  <c r="E57" i="23"/>
  <c r="C57" i="23"/>
  <c r="D57" i="23" s="1"/>
  <c r="G56" i="23"/>
  <c r="F56" i="23"/>
  <c r="E56" i="23"/>
  <c r="D56" i="23"/>
  <c r="C56" i="23"/>
  <c r="G55" i="23"/>
  <c r="F55" i="23"/>
  <c r="E55" i="23"/>
  <c r="C55" i="23"/>
  <c r="D55" i="23" s="1"/>
  <c r="A48" i="23"/>
  <c r="B48" i="23"/>
  <c r="G44" i="23"/>
  <c r="F44" i="23"/>
  <c r="E44" i="23"/>
  <c r="C44" i="23"/>
  <c r="D44" i="23" s="1"/>
  <c r="G43" i="23"/>
  <c r="F43" i="23"/>
  <c r="E43" i="23"/>
  <c r="C43" i="23"/>
  <c r="D43" i="23" s="1"/>
  <c r="G42" i="23"/>
  <c r="F42" i="23"/>
  <c r="E42" i="23"/>
  <c r="C42" i="23"/>
  <c r="D42" i="23" s="1"/>
  <c r="G41" i="23"/>
  <c r="F41" i="23"/>
  <c r="E41" i="23"/>
  <c r="C41" i="23"/>
  <c r="D41" i="23" s="1"/>
  <c r="G40" i="23"/>
  <c r="F40" i="23"/>
  <c r="E40" i="23"/>
  <c r="C40" i="23"/>
  <c r="D40" i="23" s="1"/>
  <c r="G39" i="23"/>
  <c r="F39" i="23"/>
  <c r="E39" i="23"/>
  <c r="C39" i="23"/>
  <c r="D39" i="23" s="1"/>
  <c r="G38" i="23"/>
  <c r="G48" i="23" s="1"/>
  <c r="F38" i="23"/>
  <c r="F48" i="23" s="1"/>
  <c r="E38" i="23"/>
  <c r="E48" i="23" s="1"/>
  <c r="C38" i="23"/>
  <c r="D38" i="23" s="1"/>
  <c r="D48" i="23" s="1"/>
  <c r="G37" i="23"/>
  <c r="F37" i="23"/>
  <c r="E37" i="23"/>
  <c r="C37" i="23"/>
  <c r="D37" i="23" s="1"/>
  <c r="G36" i="23"/>
  <c r="F36" i="23"/>
  <c r="E36" i="23"/>
  <c r="C36" i="23"/>
  <c r="D36" i="23" s="1"/>
  <c r="B32" i="23"/>
  <c r="A32" i="23"/>
  <c r="G28" i="23"/>
  <c r="G32" i="23" s="1"/>
  <c r="F28" i="23"/>
  <c r="F32" i="23" s="1"/>
  <c r="E28" i="23"/>
  <c r="E32" i="23" s="1"/>
  <c r="C28" i="23"/>
  <c r="D28" i="23" s="1"/>
  <c r="D32" i="23" s="1"/>
  <c r="G27" i="23"/>
  <c r="F27" i="23"/>
  <c r="E27" i="23"/>
  <c r="C27" i="23"/>
  <c r="D27" i="23" s="1"/>
  <c r="G26" i="23"/>
  <c r="F26" i="23"/>
  <c r="E26" i="23"/>
  <c r="C26" i="23"/>
  <c r="D26" i="23" s="1"/>
  <c r="G25" i="23"/>
  <c r="F25" i="23"/>
  <c r="E25" i="23"/>
  <c r="C25" i="23"/>
  <c r="D25" i="23" s="1"/>
  <c r="G24" i="23"/>
  <c r="F24" i="23"/>
  <c r="E24" i="23"/>
  <c r="C24" i="23"/>
  <c r="D24" i="23" s="1"/>
  <c r="G23" i="23"/>
  <c r="F23" i="23"/>
  <c r="E23" i="23"/>
  <c r="C23" i="23"/>
  <c r="D23" i="23" s="1"/>
  <c r="G22" i="23"/>
  <c r="F22" i="23"/>
  <c r="E22" i="23"/>
  <c r="C22" i="23"/>
  <c r="D22" i="23" s="1"/>
  <c r="G21" i="23"/>
  <c r="F21" i="23"/>
  <c r="E21" i="23"/>
  <c r="C21" i="23"/>
  <c r="D21" i="23" s="1"/>
  <c r="G20" i="23"/>
  <c r="F20" i="23"/>
  <c r="E20" i="23"/>
  <c r="C20" i="23"/>
  <c r="D20" i="23" s="1"/>
  <c r="B15" i="23"/>
  <c r="A15" i="23"/>
  <c r="G11" i="23"/>
  <c r="F11" i="23"/>
  <c r="E11" i="23"/>
  <c r="C11" i="23"/>
  <c r="D11" i="23" s="1"/>
  <c r="G10" i="23"/>
  <c r="F10" i="23"/>
  <c r="E10" i="23"/>
  <c r="C10" i="23"/>
  <c r="D10" i="23" s="1"/>
  <c r="G9" i="23"/>
  <c r="F9" i="23"/>
  <c r="E9" i="23"/>
  <c r="C9" i="23"/>
  <c r="D9" i="23" s="1"/>
  <c r="G8" i="23"/>
  <c r="F8" i="23"/>
  <c r="E8" i="23"/>
  <c r="C8" i="23"/>
  <c r="D8" i="23" s="1"/>
  <c r="G7" i="23"/>
  <c r="F7" i="23"/>
  <c r="E7" i="23"/>
  <c r="C7" i="23"/>
  <c r="D7" i="23" s="1"/>
  <c r="G6" i="23"/>
  <c r="F6" i="23"/>
  <c r="E6" i="23"/>
  <c r="C6" i="23"/>
  <c r="D6" i="23" s="1"/>
  <c r="G5" i="23"/>
  <c r="F5" i="23"/>
  <c r="E5" i="23"/>
  <c r="C5" i="23"/>
  <c r="D5" i="23" s="1"/>
  <c r="G4" i="23"/>
  <c r="F4" i="23"/>
  <c r="E4" i="23"/>
  <c r="C4" i="23"/>
  <c r="D4" i="23" s="1"/>
  <c r="G3" i="23"/>
  <c r="G15" i="23" s="1"/>
  <c r="F3" i="23"/>
  <c r="F15" i="23" s="1"/>
  <c r="E3" i="23"/>
  <c r="E15" i="23" s="1"/>
  <c r="C3" i="23"/>
  <c r="C15" i="23" s="1"/>
  <c r="D62" i="23" l="1"/>
  <c r="D67" i="23" s="1"/>
  <c r="C67" i="23"/>
  <c r="D3" i="23"/>
  <c r="D15" i="23" s="1"/>
  <c r="C32" i="23"/>
  <c r="C48" i="23"/>
  <c r="H73" i="23"/>
  <c r="C85" i="23"/>
  <c r="H21" i="23"/>
  <c r="H22" i="23"/>
  <c r="H23" i="23"/>
  <c r="H25" i="23"/>
  <c r="H56" i="23"/>
  <c r="H57" i="23"/>
  <c r="H58" i="23"/>
  <c r="H75" i="23"/>
  <c r="H76" i="23"/>
  <c r="H77" i="23"/>
  <c r="H4" i="23"/>
  <c r="H5" i="23"/>
  <c r="H6" i="23"/>
  <c r="H8" i="23"/>
  <c r="H7" i="23"/>
  <c r="H9" i="23"/>
  <c r="H26" i="23"/>
  <c r="H60" i="23"/>
  <c r="H61" i="23"/>
  <c r="H62" i="23"/>
  <c r="H67" i="23" s="1"/>
  <c r="H63" i="23"/>
  <c r="H79" i="23"/>
  <c r="H80" i="23"/>
  <c r="H81" i="23"/>
  <c r="H85" i="23" s="1"/>
  <c r="H3" i="23"/>
  <c r="H15" i="23" s="1"/>
  <c r="H10" i="23"/>
  <c r="H11" i="23"/>
  <c r="H20" i="23"/>
  <c r="H27" i="23"/>
  <c r="H28" i="23"/>
  <c r="H32" i="23" s="1"/>
  <c r="H36" i="23"/>
  <c r="H37" i="23"/>
  <c r="H38" i="23"/>
  <c r="H48" i="23" s="1"/>
  <c r="H39" i="23"/>
  <c r="H40" i="23"/>
  <c r="H41" i="23"/>
  <c r="H42" i="23"/>
  <c r="H43" i="23"/>
  <c r="H44" i="23"/>
  <c r="H55" i="23"/>
  <c r="H74" i="23"/>
  <c r="H24" i="23"/>
  <c r="H59" i="23"/>
  <c r="H78" i="23"/>
  <c r="D85" i="23"/>
  <c r="G31" i="21"/>
  <c r="F31" i="21"/>
  <c r="G30" i="21"/>
  <c r="F30" i="21"/>
  <c r="G29" i="21"/>
  <c r="F29" i="21"/>
  <c r="G28" i="21"/>
  <c r="F28" i="21"/>
  <c r="G27" i="21"/>
  <c r="F27" i="21"/>
  <c r="G26" i="21"/>
  <c r="F26" i="21"/>
  <c r="E6" i="1" l="1"/>
  <c r="E5" i="1"/>
  <c r="E4" i="1"/>
  <c r="E3" i="1"/>
  <c r="E2" i="1"/>
  <c r="E35" i="22" l="1"/>
  <c r="F34" i="22"/>
  <c r="F36" i="22"/>
  <c r="F35" i="22"/>
  <c r="E37" i="22"/>
  <c r="E36" i="22"/>
  <c r="F37" i="22" s="1"/>
  <c r="B42" i="22"/>
  <c r="E28" i="22" l="1"/>
  <c r="G28" i="22" s="1"/>
  <c r="H28" i="22" s="1"/>
  <c r="F26" i="22"/>
  <c r="F24" i="22"/>
  <c r="F28" i="22"/>
  <c r="C30" i="22"/>
  <c r="E30" i="22" s="1"/>
  <c r="C29" i="22"/>
  <c r="E29" i="22" s="1"/>
  <c r="C28" i="22"/>
  <c r="C27" i="22"/>
  <c r="C26" i="22"/>
  <c r="E26" i="22" s="1"/>
  <c r="G26" i="22" s="1"/>
  <c r="D10" i="22"/>
  <c r="E10" i="22" s="1"/>
  <c r="C10" i="22"/>
  <c r="B10" i="22"/>
  <c r="D9" i="22"/>
  <c r="C9" i="22"/>
  <c r="B9" i="22"/>
  <c r="D8" i="22"/>
  <c r="C8" i="22"/>
  <c r="B8" i="22"/>
  <c r="C7" i="22"/>
  <c r="D7" i="22"/>
  <c r="B7" i="22"/>
  <c r="E7" i="22" s="1"/>
  <c r="C51" i="21"/>
  <c r="C50" i="21"/>
  <c r="C49" i="21"/>
  <c r="C48" i="21"/>
  <c r="C47" i="21"/>
  <c r="C46" i="21"/>
  <c r="C62" i="21"/>
  <c r="C61" i="21"/>
  <c r="C60" i="21"/>
  <c r="C59" i="21"/>
  <c r="C58" i="21"/>
  <c r="C57" i="21"/>
  <c r="I26" i="22"/>
  <c r="F7" i="22"/>
  <c r="E9" i="22" l="1"/>
  <c r="F29" i="22"/>
  <c r="G29" i="22" s="1"/>
  <c r="H29" i="22" s="1"/>
  <c r="H26" i="22"/>
  <c r="E8" i="22"/>
  <c r="F30" i="22"/>
  <c r="G30" i="22" s="1"/>
  <c r="H30" i="22" s="1"/>
  <c r="F27" i="22"/>
  <c r="E27" i="22"/>
  <c r="G27" i="22" s="1"/>
  <c r="F14" i="21"/>
  <c r="G19" i="21"/>
  <c r="F19" i="21"/>
  <c r="G18" i="21"/>
  <c r="F18" i="21"/>
  <c r="G17" i="21"/>
  <c r="F17" i="21"/>
  <c r="G16" i="21"/>
  <c r="F16" i="21"/>
  <c r="G15" i="21"/>
  <c r="F15" i="21"/>
  <c r="G14" i="21"/>
  <c r="E2" i="21"/>
  <c r="E7" i="21"/>
  <c r="E6" i="21"/>
  <c r="E5" i="21"/>
  <c r="E4" i="21"/>
  <c r="E3" i="21"/>
  <c r="H27" i="22" l="1"/>
  <c r="C11" i="20"/>
  <c r="C10" i="20"/>
  <c r="C9" i="20"/>
  <c r="C8" i="20"/>
  <c r="C7" i="20"/>
  <c r="C6" i="20"/>
  <c r="C5" i="20"/>
  <c r="C4" i="20"/>
  <c r="C3" i="20"/>
  <c r="C2" i="20"/>
  <c r="AR76" i="1" l="1"/>
  <c r="AR75" i="1"/>
  <c r="AR74" i="1"/>
  <c r="AR72" i="1"/>
  <c r="AR71" i="1"/>
  <c r="AQ73" i="1"/>
  <c r="AR73" i="1" s="1"/>
  <c r="AQ77" i="1" l="1"/>
  <c r="AR7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7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 xml:space="preserve">Author:
</t>
        </r>
      </text>
    </comment>
  </commentList>
</comments>
</file>

<file path=xl/sharedStrings.xml><?xml version="1.0" encoding="utf-8"?>
<sst xmlns="http://schemas.openxmlformats.org/spreadsheetml/2006/main" count="655" uniqueCount="294">
  <si>
    <t>SALES</t>
  </si>
  <si>
    <t>COGS</t>
  </si>
  <si>
    <t>GROSS PROFIT</t>
  </si>
  <si>
    <t>OFFICE EXP.</t>
  </si>
  <si>
    <t>ADMIN EXP.</t>
  </si>
  <si>
    <t>OTHERS</t>
  </si>
  <si>
    <t>NET PROFIT</t>
  </si>
  <si>
    <t>OBJECT.METHOD</t>
  </si>
  <si>
    <t>OBJECT</t>
  </si>
  <si>
    <t>METHOD</t>
  </si>
  <si>
    <t>FOR WHICH ACTIVITY WILL BE PERFORMED</t>
  </si>
  <si>
    <t>THE ACTIVITY</t>
  </si>
  <si>
    <t>EXCEL</t>
  </si>
  <si>
    <t>VBA MACROS-SINGLE</t>
  </si>
  <si>
    <t>VBA MACROS-MULTIPLE</t>
  </si>
  <si>
    <t>CELLS</t>
  </si>
  <si>
    <t>CELL</t>
  </si>
  <si>
    <t>ROW</t>
  </si>
  <si>
    <t>COLUMNS</t>
  </si>
  <si>
    <t>COLUMN</t>
  </si>
  <si>
    <t>WORKSHEET</t>
  </si>
  <si>
    <t>WORKBOOK</t>
  </si>
  <si>
    <t>ROWS</t>
  </si>
  <si>
    <t>WORKSHEETS</t>
  </si>
  <si>
    <t>WORKBOOKS</t>
  </si>
  <si>
    <t>RANGE</t>
  </si>
  <si>
    <t>UNIVERSAL SET</t>
  </si>
  <si>
    <t>ACTIVECELL</t>
  </si>
  <si>
    <t>SELECTION</t>
  </si>
  <si>
    <t>SINGLE CELL WHICH IS SELECTED</t>
  </si>
  <si>
    <t>MORE THEN SINGLE CELLS WHICH ARE SELECTED</t>
  </si>
  <si>
    <t>SELECT</t>
  </si>
  <si>
    <t>ACTIVATE</t>
  </si>
  <si>
    <t>VALUE</t>
  </si>
  <si>
    <t xml:space="preserve">COPY </t>
  </si>
  <si>
    <t>PASTESPECIAL</t>
  </si>
  <si>
    <t>FORMULA</t>
  </si>
  <si>
    <t>OFFSET</t>
  </si>
  <si>
    <t>CELL REF WILL BE MENTIONED LIKE TEXT</t>
  </si>
  <si>
    <t>OFF EXP.</t>
  </si>
  <si>
    <t>INPUTBOX</t>
  </si>
  <si>
    <t>MSGBOX</t>
  </si>
  <si>
    <t>DIRECTIONS</t>
  </si>
  <si>
    <t>XLUP</t>
  </si>
  <si>
    <t>XLDOWN</t>
  </si>
  <si>
    <t>XLTORIGHT</t>
  </si>
  <si>
    <t>XLTOLEFT</t>
  </si>
  <si>
    <t>OFFICE EXP</t>
  </si>
  <si>
    <t>USE A FORMULA THAT REPEAT IT SELF UNTILL THE VALUE IF MORE THAN 50000 AND SHOWS A MSG IF VALUE LESS THEN THAT</t>
  </si>
  <si>
    <t>SRSVALUE</t>
  </si>
  <si>
    <t>NAME</t>
  </si>
  <si>
    <t>MARKS</t>
  </si>
  <si>
    <t>STATUS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</si>
  <si>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</si>
  <si>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</si>
  <si>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</si>
  <si>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</si>
  <si>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</si>
  <si>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</si>
  <si>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</si>
  <si>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</si>
  <si>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</si>
  <si>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</si>
  <si>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FAIL</t>
  </si>
  <si>
    <t>PASS</t>
  </si>
  <si>
    <t>Sub FORNEXTLOOP()</t>
  </si>
  <si>
    <t>GRADES</t>
  </si>
  <si>
    <t>COLUR</t>
  </si>
  <si>
    <t>&gt;70</t>
  </si>
  <si>
    <t>&gt;60</t>
  </si>
  <si>
    <t>&gt;80</t>
  </si>
  <si>
    <t>&gt;90</t>
  </si>
  <si>
    <t>Sheet1</t>
  </si>
  <si>
    <t>INFO</t>
  </si>
  <si>
    <t>Sheet3</t>
  </si>
  <si>
    <t>Sheet2</t>
  </si>
  <si>
    <t>JAN</t>
  </si>
  <si>
    <t>FEB</t>
  </si>
  <si>
    <t>MAR</t>
  </si>
  <si>
    <t>CONSOL</t>
  </si>
  <si>
    <t>LOOP</t>
  </si>
  <si>
    <t>LOOP1</t>
  </si>
  <si>
    <t>IFLOOP</t>
  </si>
  <si>
    <t>DOWHILE</t>
  </si>
  <si>
    <t>IF DO WHILE</t>
  </si>
  <si>
    <t>FOR_NEXT_LOOP</t>
  </si>
  <si>
    <t>FOR_NEXT_IF</t>
  </si>
  <si>
    <t>NESTED_IF_FOENEXT</t>
  </si>
  <si>
    <t>FOR_EACH_NEXT</t>
  </si>
  <si>
    <t>K</t>
  </si>
  <si>
    <t>L</t>
  </si>
  <si>
    <t>M</t>
  </si>
  <si>
    <t>N</t>
  </si>
  <si>
    <t>O</t>
  </si>
  <si>
    <t>P</t>
  </si>
  <si>
    <t>Q</t>
  </si>
  <si>
    <t>Dim X As Worksheet  (HERE WE HAVE DONE THIS SO THAT WE WILL NOT HAVE TO SELECT EVERY WORKSHEET IN THIS WORKBOOK</t>
  </si>
  <si>
    <t>R</t>
  </si>
  <si>
    <t>S</t>
  </si>
  <si>
    <t>T</t>
  </si>
  <si>
    <t>LIST</t>
  </si>
  <si>
    <t>REPLACENAME</t>
  </si>
  <si>
    <t>X</t>
  </si>
  <si>
    <t>Y</t>
  </si>
  <si>
    <t>X+Y</t>
  </si>
  <si>
    <t>PRO</t>
  </si>
  <si>
    <t>NEST</t>
  </si>
  <si>
    <t>IBM</t>
  </si>
  <si>
    <t>VLOOKUP WITH MATCH</t>
  </si>
  <si>
    <t>INDEX WITH MATCH</t>
  </si>
  <si>
    <t>=VLOOKUP($E12,$A$13:$C$19,MATCH(A$13,$A$13:$C$13,0),0)</t>
  </si>
  <si>
    <t>=INDEX($A$25:$C$31,MATCH($E24,$A$25:$A$31,0),MATCH(A$25,$A$25:$C$25,0))</t>
  </si>
  <si>
    <t>IN THIS U CAN "FREEZE THE RO WAND COLUMN BY JUST PUTTING THE ROW NUMBER AND COLUMN NUMBER"</t>
  </si>
  <si>
    <t xml:space="preserve">LIKE: IF WANT TO SELECT FROM PRO TO 85 </t>
  </si>
  <si>
    <t>THEN</t>
  </si>
  <si>
    <t>CODE FOR PRO: ROW IS 13 AN COLUMN IS 1</t>
  </si>
  <si>
    <t>CODE FOR 85: ROW IS 19 AND COLUMN IS 3</t>
  </si>
  <si>
    <t>SO CODE WILL BE LIKE THAT :   (R13C1:R19C3)</t>
  </si>
  <si>
    <t xml:space="preserve">AND </t>
  </si>
  <si>
    <t xml:space="preserve">IF WE ARE FREEZING A SINGLE CLOUMN OR ROW THEN </t>
  </si>
  <si>
    <t>FOR EX: HERE WE WILL FREEZE COLUMN NOT ROW AS PER VLOOKUP FORMULA</t>
  </si>
  <si>
    <t>SO CODE WILL BE $E12  (E IS FREEZED NOT 12{COLUMN})</t>
  </si>
  <si>
    <t>SO FORMULA WILL BE:</t>
  </si>
  <si>
    <t>R[0]C5      :</t>
  </si>
  <si>
    <t>E = R[0]</t>
  </si>
  <si>
    <t>12 = C5</t>
  </si>
  <si>
    <t>=OFFSET($A$34,MATCH($E33,$A$34:$A$40,0)-1,MATCH(A$34,$A$34:$C$34,0)-1)</t>
  </si>
  <si>
    <t>ActiveCell.Formula = "=OFFSET(R34C1,MATCH(R[0]C5,R34C1:R40C1,0)-1,MATCH(R34C[0],R34C1:R34C3,0)-1)"</t>
  </si>
  <si>
    <t>ActiveCell.Formula = "=INDEX(R25C1:R31C3,MATCH(R[0]C5,R25C1:R31C1,0),MATCH(R25C[0],R25C1:R25C3,0))"</t>
  </si>
  <si>
    <t>ActiveCell.Offset(0, 1) = "=VLOOKUP(R[0]C5,R13C1:R19C3,MATCH(R13C[0],R13C1:R13C3,0),0)"</t>
  </si>
  <si>
    <t>OFFSET WITH MATCH</t>
  </si>
  <si>
    <t>GRADE</t>
  </si>
  <si>
    <t>&gt;=90</t>
  </si>
  <si>
    <t>&gt;=70</t>
  </si>
  <si>
    <t>&gt;=60</t>
  </si>
  <si>
    <t>&gt;=50</t>
  </si>
  <si>
    <t>&lt;50</t>
  </si>
  <si>
    <t>=IF(B46&gt;=50,"PASS","FAIL")</t>
  </si>
  <si>
    <t>IF CONDITION</t>
  </si>
  <si>
    <t>NESTED IF</t>
  </si>
  <si>
    <t>INC</t>
  </si>
  <si>
    <t>EXP</t>
  </si>
  <si>
    <t>INVST</t>
  </si>
  <si>
    <t>OTH</t>
  </si>
  <si>
    <t>SAVING</t>
  </si>
  <si>
    <t>OF INCM</t>
  </si>
  <si>
    <t>USER DEFINED FUNCTION</t>
  </si>
  <si>
    <t>Function UDFSAVING(INC As Long)</t>
  </si>
  <si>
    <t>QTY</t>
  </si>
  <si>
    <t>AMT</t>
  </si>
  <si>
    <t>YEARS</t>
  </si>
  <si>
    <t>DEP</t>
  </si>
  <si>
    <t>MAIN</t>
  </si>
  <si>
    <t>SALVAGE</t>
  </si>
  <si>
    <t>=(C14/D14)*20%</t>
  </si>
  <si>
    <t>VAL*10%</t>
  </si>
  <si>
    <t>VAL-DEP-MAIN-OTH</t>
  </si>
  <si>
    <t>THESE 3 ARE TAKEN AS INPUT BCZ THERE IS NO CALCULATION IN THESE CELLS</t>
  </si>
  <si>
    <t>=UDFSALV(B16,C16,E16)</t>
  </si>
  <si>
    <t>VALUE = QTY * AMT</t>
  </si>
  <si>
    <t>DEP = (VALUE / YEARS) * 0.2</t>
  </si>
  <si>
    <t>MAIN = VALUE * 0.1</t>
  </si>
  <si>
    <t>OTH = (DEP + MAIN) * 0.1</t>
  </si>
  <si>
    <t>SALVAGE = VALUE - DEP - MAIN - OTH</t>
  </si>
  <si>
    <t>WITH THE HELP OF THIS WE CAN CREATE A FORMULA</t>
  </si>
  <si>
    <t>START</t>
  </si>
  <si>
    <t>END</t>
  </si>
  <si>
    <t>END FUNCTION</t>
  </si>
  <si>
    <t>Dim VALUE As Long</t>
  </si>
  <si>
    <t>Dim DEP As Long</t>
  </si>
  <si>
    <t>UDFSALV = SALVAGE</t>
  </si>
  <si>
    <t>(PROVIDE A NAME TO THE FORMULA)</t>
  </si>
  <si>
    <t>(HERE WE HAVE TO DECLARE THE NAME FROM WHICH ALL THE FUNCTION WILL BE PERFORMED</t>
  </si>
  <si>
    <t>MORE THEN</t>
  </si>
  <si>
    <t>TAX RATE</t>
  </si>
  <si>
    <t>INCOME</t>
  </si>
  <si>
    <t>TAX</t>
  </si>
  <si>
    <t xml:space="preserve">                                                                                                                             </t>
  </si>
  <si>
    <t>Function UDFSLVG(QTY As Long, AMT As Long, YEARS As Long)</t>
  </si>
  <si>
    <t>Dim MAIN As Long</t>
  </si>
  <si>
    <t>Dim OTH As Long</t>
  </si>
  <si>
    <t>Dim SALVAGE As Long</t>
  </si>
  <si>
    <t>UDFSLVG = SALVAGE</t>
  </si>
  <si>
    <t>End Function</t>
  </si>
  <si>
    <t>(ALWAYS REMEMBER THAT YOU HAVE TO EQUAL THE NAME OF THE FUCTION WITH THE TEXT IN WHICH YOU ARE PUTTING FORMULA</t>
  </si>
  <si>
    <t>HERE WE ARE PUUTING FORMULA IN SALVAGE SO FUNCTION NAME= SALVAGE</t>
  </si>
  <si>
    <t>MANISH</t>
  </si>
  <si>
    <t>KAPIL</t>
  </si>
  <si>
    <t>SURESH</t>
  </si>
  <si>
    <t>HARISH</t>
  </si>
  <si>
    <t>VIMAL</t>
  </si>
  <si>
    <t>TOTAL</t>
  </si>
  <si>
    <t>HOW TO RECORD MACROS</t>
  </si>
  <si>
    <t>1) CLICK ON DEVELOPER TAB</t>
  </si>
  <si>
    <t>2) CLICK ON RELATIVE REFERENCE (IT HELP US TO REMOVE RESTRICTION OF CELLS</t>
  </si>
  <si>
    <t>(WHICH MEANS THAT IT WILL BE WORK AS PER ACTIVECELL NOT AS PER FIXED RANGE LIKE("A1").</t>
  </si>
  <si>
    <t>3) CLICK ON RECORD MACROS</t>
  </si>
  <si>
    <t>4)START DOING THE TASK</t>
  </si>
  <si>
    <t>5) WHEN YOU COMPLETE THE TASK JUST CLICK AGAIN ON STOP MACRO</t>
  </si>
  <si>
    <t>6) NOW GO TO MACROS BUTTON ON THE LEFT OG RECORD MACRO</t>
  </si>
  <si>
    <t>MACRO NAME:  - NAME YOU WANT TO GIVE TO YOUR MACRO CODE</t>
  </si>
  <si>
    <t>SHORTCUT KEY:- YOU CAN PROVIDE A SHORTCUT THOUGH WHICH YOU CAN RUN YOUR MACR.(HOWEVER IT IS RECOMMENDED THAT NEVER USE SHORTCUT KEYS BCZ IT CAN CREATE A DUPLICAY OF SHORTCUTS</t>
  </si>
  <si>
    <t>STORE MACRO:- YOU CAN SELECT HOW YOU WANT TO STORE IT</t>
  </si>
  <si>
    <t>DESCRIPTION: - IT'S AN OPTIONAL FIELD(HERE YOU CAN WRITE FULL DESCRIPTION LIKE(Recording of income statement)</t>
  </si>
  <si>
    <t>7) CLICK ON THAT BUTTON AND PROVIDE THE NAME U GAVE TO YOUR MACRO.</t>
  </si>
  <si>
    <t>8)RUN</t>
  </si>
  <si>
    <t>9) YOU CAN ALSO INSERT A BUTTON LIKE BUTTON 1 FROM RIBBON INSERT</t>
  </si>
  <si>
    <t>10) OR YOU CAN GO TO INSERT - SHAPE - SELECT A SHAPE - ASSIGN MACRO CODE - SELECT YOUR MACRO CODE - RUN ACCORDINGLY</t>
  </si>
  <si>
    <t>ADMIN EXP</t>
  </si>
  <si>
    <t>VLOOKUP</t>
  </si>
  <si>
    <t>UDF</t>
  </si>
  <si>
    <t>Sheet4</t>
  </si>
  <si>
    <t>AFTER NAME YOU HAVE TO APPLY IF SINCE NAME SHOULD BE GIVEN FIRST TI Y THEN IT WILL BE APPLIED</t>
  </si>
  <si>
    <t>Y = X.Name</t>
  </si>
  <si>
    <t>ActiveCell.VALUE = Y</t>
  </si>
  <si>
    <t>Y = ActiveCell.VALUE</t>
  </si>
  <si>
    <t>X.Name = Y</t>
  </si>
  <si>
    <t>NAME DENA HAI Y KO WORKSHEETS KA (JISKA NAME DENA HAI)</t>
  </si>
  <si>
    <t>JISKO NAME DENA HAI VO Y KE BARABAR</t>
  </si>
  <si>
    <t>COUNTRY</t>
  </si>
  <si>
    <t>G/P</t>
  </si>
  <si>
    <t>AD EXP.</t>
  </si>
  <si>
    <t>N/P</t>
  </si>
  <si>
    <t>INDIA</t>
  </si>
  <si>
    <t>US</t>
  </si>
  <si>
    <t>UK</t>
  </si>
  <si>
    <t>JAPAN</t>
  </si>
  <si>
    <t>FRANCE</t>
  </si>
  <si>
    <t>BRAZIL</t>
  </si>
  <si>
    <t>GERMANY</t>
  </si>
  <si>
    <t>CANADA</t>
  </si>
  <si>
    <t>ITALY</t>
  </si>
  <si>
    <t>40% OF SALES</t>
  </si>
  <si>
    <t>SALES-COGS</t>
  </si>
  <si>
    <t>SALE*15</t>
  </si>
  <si>
    <t>SALES*8%</t>
  </si>
  <si>
    <t>SALES*12%</t>
  </si>
  <si>
    <t>SINCE WE ARE NOT HAVING LOOKUP VALUE SO WE HAVE TO USE "OFFSET")</t>
  </si>
  <si>
    <t>INDEX</t>
  </si>
  <si>
    <t>=INDEX($A$2:$H$11,$A$13+1,MATCH(A$14,$A$2:$H$2,0))</t>
  </si>
  <si>
    <t>=OFFSET($A$19,$A$30,MATCH(A$31,$A$19:$H$19,0)-1)</t>
  </si>
  <si>
    <t>HLOOKUP</t>
  </si>
  <si>
    <t>=HLOOKUP(A$47,$A$35:$H$44,$A$45+1,0)</t>
  </si>
  <si>
    <t>CHOOSE</t>
  </si>
  <si>
    <t>=CHOOSE($A$83,A75,A76,A77,A78,A79,A80,A81,A82,A83)</t>
  </si>
  <si>
    <t>NAMES</t>
  </si>
  <si>
    <t>GENDER</t>
  </si>
  <si>
    <t>AGE</t>
  </si>
  <si>
    <t>CITY</t>
  </si>
  <si>
    <t>ADDRESS</t>
  </si>
  <si>
    <t>STEPS</t>
  </si>
  <si>
    <t>SETP1)</t>
  </si>
  <si>
    <t>2)</t>
  </si>
  <si>
    <t>NOW RIGHT CLICK ON THE LIST BOX AND GO TO FORMAT CONTAL</t>
  </si>
  <si>
    <t>3)</t>
  </si>
  <si>
    <t>4)</t>
  </si>
  <si>
    <t>CELL LINK: THIS LINK SHOUL BE GIVEN ON A BLANK CELL WHICH HELP IN THE LINKAGE OF FORMULA AND LIST BOX.</t>
  </si>
  <si>
    <t>5)</t>
  </si>
  <si>
    <t>NOW PUT FORMULA IN WHICH "CELL LINK SHOULD BE USED" SO THAT WHEN U SELECT THE TEXT THEN CHART WILL WORK ACCORDINGLY</t>
  </si>
  <si>
    <t>NOIDA</t>
  </si>
  <si>
    <t>FARIDABAD</t>
  </si>
  <si>
    <t>DELHI</t>
  </si>
  <si>
    <t>GURGAON</t>
  </si>
  <si>
    <t>KJBSDKJSDB</t>
  </si>
  <si>
    <t>FEMALE</t>
  </si>
  <si>
    <t>JKBDCKBIDSJB</t>
  </si>
  <si>
    <t>KBKSB</t>
  </si>
  <si>
    <t>MALE</t>
  </si>
  <si>
    <t>KBHBB</t>
  </si>
  <si>
    <t>Where do you get DEVELOPER TAB</t>
  </si>
  <si>
    <t>You can find developer Tab in FILE- OPTION - CUSTOMIZE RIBBON - DEVELOPER</t>
  </si>
  <si>
    <t>Question</t>
  </si>
  <si>
    <t>Answer</t>
  </si>
  <si>
    <t>FOR USING THIS FORMULA JUST 2 STEPS:</t>
  </si>
  <si>
    <t>1) X= WORKSHEETS</t>
  </si>
  <si>
    <t>2) FOR EACH X IN WORKSHEETS</t>
  </si>
  <si>
    <t>A FORMULA IS USED WHICH WILL ACTIVATE ALL THE CURRENT WORSHEETS AND PUT 10 ON "X1" CELL</t>
  </si>
  <si>
    <t>Apply a formula which will provide all sheets name on this worsheets</t>
  </si>
  <si>
    <t xml:space="preserve">Here what we have done is </t>
  </si>
  <si>
    <t>1) We have equalize X as worksheets</t>
  </si>
  <si>
    <t>2) We have equalize Y as X.name</t>
  </si>
  <si>
    <t>3) We have equalize Activecell.value= Y</t>
  </si>
  <si>
    <t>So Worksheet=X=Y=activecell</t>
  </si>
  <si>
    <t>IT WILL ALWAYS WORK IN CROOS</t>
  </si>
  <si>
    <t>JISKO NAAM DENA HAI "Y" USKE EQUAL KERDO</t>
  </si>
  <si>
    <t>Always Remember in Formula writing u have to keep Text in double inverted coma ex: ""pass""</t>
  </si>
  <si>
    <t>How to write formula:</t>
  </si>
  <si>
    <t>activecell.formula="=vlookup(R13,R13:R16,2,0)"</t>
  </si>
  <si>
    <t>HOW TO FREEZE IT</t>
  </si>
  <si>
    <t>GO TO DEVELOPER TAB - INSERT - SELECT THE BUTTON YOU WANT TO SELECT  (List is the best button where you will get both "INPUT RANGE, Cell Link".</t>
  </si>
  <si>
    <t>PUT INPUT RANGE(DATA U WANT TO CHANGE WITH ONE CLICK IN THE CHAR. For ex in this INDIA, JAPAN</t>
  </si>
  <si>
    <t>6)</t>
  </si>
  <si>
    <t>Now select the Data where you have used the formula and then go to insert and select a chat so that Dashbord will be completed.</t>
  </si>
  <si>
    <t>=VLOOKUP(OFFSET($A$54,$A$65,0),$A$54:$H$63,MATCH(A$66,$A$54:$H$54,0),0)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</si>
</sst>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Fill="1"/>
    <xf numFmtId="0" fontId="1" fillId="0" borderId="0" xfId="0" applyFont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2" fillId="0" borderId="0" xfId="0" applyFont="1"/>
    <xf numFmtId="0" fontId="1" fillId="5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quotePrefix="1"/>
    <xf numFmtId="0" fontId="1" fillId="5" borderId="0" xfId="0" applyFont="1" applyFill="1"/>
    <xf numFmtId="0" fontId="3" fillId="0" borderId="0" xfId="0" applyFont="1"/>
    <xf numFmtId="0" fontId="0" fillId="12" borderId="0" xfId="0" applyFill="1"/>
    <xf numFmtId="0" fontId="1" fillId="12" borderId="0" xfId="0" applyFont="1" applyFill="1"/>
    <xf numFmtId="20" fontId="1" fillId="12" borderId="0" xfId="0" quotePrefix="1" applyNumberFormat="1" applyFont="1" applyFill="1"/>
    <xf numFmtId="0" fontId="1" fillId="0" borderId="0" xfId="0" quotePrefix="1" applyFont="1"/>
    <xf numFmtId="0" fontId="0" fillId="13" borderId="0" xfId="0" applyFill="1"/>
    <xf numFmtId="9" fontId="0" fillId="0" borderId="0" xfId="0" applyNumberFormat="1"/>
    <xf numFmtId="0" fontId="4" fillId="5" borderId="0" xfId="0" applyFont="1" applyFill="1"/>
    <xf numFmtId="0" fontId="1" fillId="14" borderId="0" xfId="0" quotePrefix="1" applyFont="1" applyFill="1"/>
    <xf numFmtId="0" fontId="1" fillId="14" borderId="0" xfId="0" applyFont="1" applyFill="1"/>
    <xf numFmtId="0" fontId="1" fillId="14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left" vertical="center"/>
    </xf>
    <xf numFmtId="0" fontId="0" fillId="11" borderId="0" xfId="0" applyFill="1" applyAlignment="1">
      <alignment horizontal="left" vertical="center"/>
    </xf>
    <xf numFmtId="0" fontId="1" fillId="13" borderId="0" xfId="0" applyFont="1" applyFill="1"/>
    <xf numFmtId="0" fontId="1" fillId="11" borderId="0" xfId="0" applyFont="1" applyFill="1"/>
    <xf numFmtId="10" fontId="0" fillId="0" borderId="0" xfId="0" applyNumberFormat="1"/>
    <xf numFmtId="0" fontId="0" fillId="15" borderId="0" xfId="0" applyFill="1"/>
    <xf numFmtId="0" fontId="3" fillId="5" borderId="0" xfId="0" applyFont="1" applyFill="1"/>
    <xf numFmtId="0" fontId="0" fillId="0" borderId="0" xfId="0" applyAlignment="1">
      <alignment horizontal="center" vertical="center"/>
    </xf>
    <xf numFmtId="0" fontId="1" fillId="16" borderId="0" xfId="0" applyFont="1" applyFill="1"/>
    <xf numFmtId="0" fontId="0" fillId="17" borderId="0" xfId="0" applyFill="1"/>
    <xf numFmtId="0" fontId="3" fillId="18" borderId="0" xfId="0" applyFont="1" applyFill="1"/>
    <xf numFmtId="0" fontId="0" fillId="18" borderId="0" xfId="0" applyFill="1"/>
    <xf numFmtId="0" fontId="3" fillId="19" borderId="0" xfId="0" applyFont="1" applyFill="1"/>
    <xf numFmtId="0" fontId="0" fillId="19" borderId="0" xfId="0" applyFill="1"/>
    <xf numFmtId="0" fontId="1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Dashboard!$A$15</c:f>
              <c:strCache>
                <c:ptCount val="1"/>
                <c:pt idx="0">
                  <c:v>INDIA</c:v>
                </c:pt>
              </c:strCache>
            </c:strRef>
          </c:tx>
          <c:invertIfNegative val="0"/>
          <c:cat>
            <c:strRef>
              <c:f>Dashboard!$B$14:$H$14</c:f>
              <c:strCache>
                <c:ptCount val="7"/>
                <c:pt idx="0">
                  <c:v>SALES</c:v>
                </c:pt>
                <c:pt idx="1">
                  <c:v>COGS</c:v>
                </c:pt>
                <c:pt idx="2">
                  <c:v>G/P</c:v>
                </c:pt>
                <c:pt idx="3">
                  <c:v>OFFICE EXP.</c:v>
                </c:pt>
                <c:pt idx="4">
                  <c:v>AD EXP.</c:v>
                </c:pt>
                <c:pt idx="5">
                  <c:v>OTHERS</c:v>
                </c:pt>
                <c:pt idx="6">
                  <c:v>N/P</c:v>
                </c:pt>
              </c:strCache>
            </c:strRef>
          </c:cat>
          <c:val>
            <c:numRef>
              <c:f>Dashboard!$B$15:$H$15</c:f>
              <c:numCache>
                <c:formatCode>General</c:formatCode>
                <c:ptCount val="7"/>
                <c:pt idx="0">
                  <c:v>10000</c:v>
                </c:pt>
                <c:pt idx="1">
                  <c:v>4000</c:v>
                </c:pt>
                <c:pt idx="2">
                  <c:v>6000</c:v>
                </c:pt>
                <c:pt idx="3">
                  <c:v>1500</c:v>
                </c:pt>
                <c:pt idx="4">
                  <c:v>800</c:v>
                </c:pt>
                <c:pt idx="5">
                  <c:v>1200</c:v>
                </c:pt>
                <c:pt idx="6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1F6-8726-5AAB30A7B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20576"/>
        <c:axId val="159322880"/>
      </c:barChart>
      <c:catAx>
        <c:axId val="521205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9322880"/>
        <c:crosses val="autoZero"/>
        <c:auto val="1"/>
        <c:lblAlgn val="ctr"/>
        <c:lblOffset val="100"/>
        <c:noMultiLvlLbl val="0"/>
      </c:catAx>
      <c:valAx>
        <c:axId val="15932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120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096522309711288"/>
          <c:y val="5.0925925925925923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Dashboard!$A$32</c:f>
              <c:strCache>
                <c:ptCount val="1"/>
                <c:pt idx="0">
                  <c:v>ITALY</c:v>
                </c:pt>
              </c:strCache>
            </c:strRef>
          </c:tx>
          <c:invertIfNegative val="0"/>
          <c:cat>
            <c:strRef>
              <c:f>Dashboard!$B$31:$H$31</c:f>
              <c:strCache>
                <c:ptCount val="7"/>
                <c:pt idx="0">
                  <c:v>SALES</c:v>
                </c:pt>
                <c:pt idx="1">
                  <c:v>COGS</c:v>
                </c:pt>
                <c:pt idx="2">
                  <c:v>G/P</c:v>
                </c:pt>
                <c:pt idx="3">
                  <c:v>OFFICE EXP.</c:v>
                </c:pt>
                <c:pt idx="4">
                  <c:v>AD EXP.</c:v>
                </c:pt>
                <c:pt idx="5">
                  <c:v>OTHERS</c:v>
                </c:pt>
                <c:pt idx="6">
                  <c:v>N/P</c:v>
                </c:pt>
              </c:strCache>
            </c:strRef>
          </c:cat>
          <c:val>
            <c:numRef>
              <c:f>Dashboard!$B$32:$H$32</c:f>
              <c:numCache>
                <c:formatCode>General</c:formatCode>
                <c:ptCount val="7"/>
                <c:pt idx="0">
                  <c:v>26000</c:v>
                </c:pt>
                <c:pt idx="1">
                  <c:v>10400</c:v>
                </c:pt>
                <c:pt idx="2">
                  <c:v>15600</c:v>
                </c:pt>
                <c:pt idx="3">
                  <c:v>3900</c:v>
                </c:pt>
                <c:pt idx="4">
                  <c:v>2080</c:v>
                </c:pt>
                <c:pt idx="5">
                  <c:v>3120</c:v>
                </c:pt>
                <c:pt idx="6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F-4234-9883-671A01962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064832"/>
        <c:axId val="159066368"/>
      </c:barChart>
      <c:catAx>
        <c:axId val="1590648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9066368"/>
        <c:crosses val="autoZero"/>
        <c:auto val="1"/>
        <c:lblAlgn val="ctr"/>
        <c:lblOffset val="100"/>
        <c:noMultiLvlLbl val="0"/>
      </c:catAx>
      <c:valAx>
        <c:axId val="15906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0648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Dashboard!$A$48</c:f>
              <c:strCache>
                <c:ptCount val="1"/>
                <c:pt idx="0">
                  <c:v>UK</c:v>
                </c:pt>
              </c:strCache>
            </c:strRef>
          </c:tx>
          <c:invertIfNegative val="0"/>
          <c:cat>
            <c:strRef>
              <c:f>Dashboard!$B$47:$H$47</c:f>
              <c:strCache>
                <c:ptCount val="7"/>
                <c:pt idx="0">
                  <c:v>SALES</c:v>
                </c:pt>
                <c:pt idx="1">
                  <c:v>COGS</c:v>
                </c:pt>
                <c:pt idx="2">
                  <c:v>G/P</c:v>
                </c:pt>
                <c:pt idx="3">
                  <c:v>OFFICE EXP.</c:v>
                </c:pt>
                <c:pt idx="4">
                  <c:v>AD EXP.</c:v>
                </c:pt>
                <c:pt idx="5">
                  <c:v>OTHERS</c:v>
                </c:pt>
                <c:pt idx="6">
                  <c:v>N/P</c:v>
                </c:pt>
              </c:strCache>
            </c:strRef>
          </c:cat>
          <c:val>
            <c:numRef>
              <c:f>Dashboard!$B$48:$H$48</c:f>
              <c:numCache>
                <c:formatCode>General</c:formatCode>
                <c:ptCount val="7"/>
                <c:pt idx="0">
                  <c:v>14000</c:v>
                </c:pt>
                <c:pt idx="1">
                  <c:v>5600</c:v>
                </c:pt>
                <c:pt idx="2">
                  <c:v>8400</c:v>
                </c:pt>
                <c:pt idx="3">
                  <c:v>2100</c:v>
                </c:pt>
                <c:pt idx="4">
                  <c:v>1120</c:v>
                </c:pt>
                <c:pt idx="5">
                  <c:v>1680</c:v>
                </c:pt>
                <c:pt idx="6">
                  <c:v>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D0-4580-B594-1A14E4D37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094656"/>
        <c:axId val="159096192"/>
      </c:barChart>
      <c:catAx>
        <c:axId val="1590946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9096192"/>
        <c:crosses val="autoZero"/>
        <c:auto val="1"/>
        <c:lblAlgn val="ctr"/>
        <c:lblOffset val="100"/>
        <c:noMultiLvlLbl val="0"/>
      </c:catAx>
      <c:valAx>
        <c:axId val="159096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094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Dashboard!$A$67</c:f>
              <c:strCache>
                <c:ptCount val="1"/>
                <c:pt idx="0">
                  <c:v>CANADA</c:v>
                </c:pt>
              </c:strCache>
            </c:strRef>
          </c:tx>
          <c:invertIfNegative val="0"/>
          <c:cat>
            <c:strRef>
              <c:f>Dashboard!$B$66:$H$66</c:f>
              <c:strCache>
                <c:ptCount val="7"/>
                <c:pt idx="0">
                  <c:v>SALES</c:v>
                </c:pt>
                <c:pt idx="1">
                  <c:v>COGS</c:v>
                </c:pt>
                <c:pt idx="2">
                  <c:v>G/P</c:v>
                </c:pt>
                <c:pt idx="3">
                  <c:v>OFFICE EXP.</c:v>
                </c:pt>
                <c:pt idx="4">
                  <c:v>AD EXP.</c:v>
                </c:pt>
                <c:pt idx="5">
                  <c:v>OTHERS</c:v>
                </c:pt>
                <c:pt idx="6">
                  <c:v>N/P</c:v>
                </c:pt>
              </c:strCache>
            </c:strRef>
          </c:cat>
          <c:val>
            <c:numRef>
              <c:f>Dashboard!$B$67:$H$67</c:f>
              <c:numCache>
                <c:formatCode>General</c:formatCode>
                <c:ptCount val="7"/>
                <c:pt idx="0">
                  <c:v>24000</c:v>
                </c:pt>
                <c:pt idx="1">
                  <c:v>9600</c:v>
                </c:pt>
                <c:pt idx="2">
                  <c:v>14400</c:v>
                </c:pt>
                <c:pt idx="3">
                  <c:v>3600</c:v>
                </c:pt>
                <c:pt idx="4">
                  <c:v>1920</c:v>
                </c:pt>
                <c:pt idx="5">
                  <c:v>2880</c:v>
                </c:pt>
                <c:pt idx="6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E3-4E55-9E38-B270EDA63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794880"/>
        <c:axId val="158796416"/>
      </c:barChart>
      <c:catAx>
        <c:axId val="1587948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8796416"/>
        <c:crosses val="autoZero"/>
        <c:auto val="1"/>
        <c:lblAlgn val="ctr"/>
        <c:lblOffset val="100"/>
        <c:noMultiLvlLbl val="0"/>
      </c:catAx>
      <c:valAx>
        <c:axId val="15879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794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818744531933506"/>
          <c:y val="2.7777777777777776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Dashboard!$A$85</c:f>
              <c:strCache>
                <c:ptCount val="1"/>
                <c:pt idx="0">
                  <c:v>ITALY</c:v>
                </c:pt>
              </c:strCache>
            </c:strRef>
          </c:tx>
          <c:invertIfNegative val="0"/>
          <c:cat>
            <c:strRef>
              <c:f>Dashboard!$B$84:$H$84</c:f>
              <c:strCache>
                <c:ptCount val="7"/>
                <c:pt idx="0">
                  <c:v>SALES</c:v>
                </c:pt>
                <c:pt idx="1">
                  <c:v>COGS</c:v>
                </c:pt>
                <c:pt idx="2">
                  <c:v>G/P</c:v>
                </c:pt>
                <c:pt idx="3">
                  <c:v>OFFICE EXP.</c:v>
                </c:pt>
                <c:pt idx="4">
                  <c:v>AD EXP.</c:v>
                </c:pt>
                <c:pt idx="5">
                  <c:v>OTHERS</c:v>
                </c:pt>
                <c:pt idx="6">
                  <c:v>N/P</c:v>
                </c:pt>
              </c:strCache>
            </c:strRef>
          </c:cat>
          <c:val>
            <c:numRef>
              <c:f>Dashboard!$B$85:$H$85</c:f>
              <c:numCache>
                <c:formatCode>General</c:formatCode>
                <c:ptCount val="7"/>
                <c:pt idx="0">
                  <c:v>26000</c:v>
                </c:pt>
                <c:pt idx="1">
                  <c:v>10400</c:v>
                </c:pt>
                <c:pt idx="2">
                  <c:v>15600</c:v>
                </c:pt>
                <c:pt idx="3">
                  <c:v>3900</c:v>
                </c:pt>
                <c:pt idx="4">
                  <c:v>2080</c:v>
                </c:pt>
                <c:pt idx="5">
                  <c:v>3120</c:v>
                </c:pt>
                <c:pt idx="6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B-4FB8-A7BA-79F8E1831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820992"/>
        <c:axId val="158830976"/>
      </c:barChart>
      <c:catAx>
        <c:axId val="1588209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8830976"/>
        <c:crosses val="autoZero"/>
        <c:auto val="1"/>
        <c:lblAlgn val="ctr"/>
        <c:lblOffset val="100"/>
        <c:noMultiLvlLbl val="0"/>
      </c:catAx>
      <c:valAx>
        <c:axId val="15883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820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16" fmlaLink="$A$13" fmlaRange="$A$3:$A$11" noThreeD="1" sel="1" val="0"/>
</file>

<file path=xl/ctrlProps/ctrlProp3.xml><?xml version="1.0" encoding="utf-8"?>
<formControlPr xmlns="http://schemas.microsoft.com/office/spreadsheetml/2009/9/main" objectType="List" dx="16" fmlaLink="$A$30" fmlaRange="$A$20:$A$28" noThreeD="1" sel="9" val="0"/>
</file>

<file path=xl/ctrlProps/ctrlProp4.xml><?xml version="1.0" encoding="utf-8"?>
<formControlPr xmlns="http://schemas.microsoft.com/office/spreadsheetml/2009/9/main" objectType="List" dx="16" fmlaLink="$A$45" fmlaRange="$A$36:$A$44" noThreeD="1" sel="3" val="0"/>
</file>

<file path=xl/ctrlProps/ctrlProp5.xml><?xml version="1.0" encoding="utf-8"?>
<formControlPr xmlns="http://schemas.microsoft.com/office/spreadsheetml/2009/9/main" objectType="List" dx="16" fmlaLink="$A$65" fmlaRange="$A$55:$A$63" noThreeD="1" sel="8" val="0"/>
</file>

<file path=xl/ctrlProps/ctrlProp6.xml><?xml version="1.0" encoding="utf-8"?>
<formControlPr xmlns="http://schemas.microsoft.com/office/spreadsheetml/2009/9/main" objectType="List" dx="16" fmlaLink="$A$83" fmlaRange="$A$73:$A$81" noThreeD="1" sel="9" val="0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1</xdr:row>
          <xdr:rowOff>133350</xdr:rowOff>
        </xdr:from>
        <xdr:to>
          <xdr:col>6</xdr:col>
          <xdr:colOff>371475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478797</xdr:colOff>
      <xdr:row>3</xdr:row>
      <xdr:rowOff>143130</xdr:rowOff>
    </xdr:from>
    <xdr:to>
      <xdr:col>6</xdr:col>
      <xdr:colOff>394753</xdr:colOff>
      <xdr:row>6</xdr:row>
      <xdr:rowOff>137527</xdr:rowOff>
    </xdr:to>
    <xdr:sp macro="[1]!VVVVV" textlink="">
      <xdr:nvSpPr>
        <xdr:cNvPr id="2" name="Parallelo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160334">
          <a:off x="3873161" y="775244"/>
          <a:ext cx="833819" cy="565897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2</xdr:row>
      <xdr:rowOff>133350</xdr:rowOff>
    </xdr:from>
    <xdr:to>
      <xdr:col>4</xdr:col>
      <xdr:colOff>561975</xdr:colOff>
      <xdr:row>3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CxnSpPr/>
      </xdr:nvCxnSpPr>
      <xdr:spPr>
        <a:xfrm>
          <a:off x="1895475" y="514350"/>
          <a:ext cx="1104900" cy="1524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5</xdr:row>
      <xdr:rowOff>95250</xdr:rowOff>
    </xdr:from>
    <xdr:to>
      <xdr:col>4</xdr:col>
      <xdr:colOff>0</xdr:colOff>
      <xdr:row>6</xdr:row>
      <xdr:rowOff>95250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CxnSpPr/>
      </xdr:nvCxnSpPr>
      <xdr:spPr>
        <a:xfrm>
          <a:off x="1876425" y="1047750"/>
          <a:ext cx="561975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419101</xdr:colOff>
      <xdr:row>12</xdr:row>
      <xdr:rowOff>123827</xdr:rowOff>
    </xdr:from>
    <xdr:to>
      <xdr:col>7</xdr:col>
      <xdr:colOff>581025</xdr:colOff>
      <xdr:row>15</xdr:row>
      <xdr:rowOff>104775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CxnSpPr/>
      </xdr:nvCxnSpPr>
      <xdr:spPr>
        <a:xfrm flipH="1" flipV="1">
          <a:off x="419101" y="2409827"/>
          <a:ext cx="4429124" cy="55244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600075</xdr:colOff>
      <xdr:row>16</xdr:row>
      <xdr:rowOff>123825</xdr:rowOff>
    </xdr:from>
    <xdr:to>
      <xdr:col>7</xdr:col>
      <xdr:colOff>600075</xdr:colOff>
      <xdr:row>18</xdr:row>
      <xdr:rowOff>95250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CxnSpPr/>
      </xdr:nvCxnSpPr>
      <xdr:spPr>
        <a:xfrm flipH="1">
          <a:off x="1819275" y="3171825"/>
          <a:ext cx="3048000" cy="3524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12</xdr:row>
      <xdr:rowOff>161925</xdr:rowOff>
    </xdr:from>
    <xdr:to>
      <xdr:col>9</xdr:col>
      <xdr:colOff>28575</xdr:colOff>
      <xdr:row>21</xdr:row>
      <xdr:rowOff>76200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CxnSpPr/>
      </xdr:nvCxnSpPr>
      <xdr:spPr>
        <a:xfrm flipH="1" flipV="1">
          <a:off x="2667000" y="2447925"/>
          <a:ext cx="2847975" cy="1628775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123825</xdr:colOff>
      <xdr:row>35</xdr:row>
      <xdr:rowOff>133350</xdr:rowOff>
    </xdr:from>
    <xdr:to>
      <xdr:col>7</xdr:col>
      <xdr:colOff>504825</xdr:colOff>
      <xdr:row>35</xdr:row>
      <xdr:rowOff>133350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CxnSpPr/>
      </xdr:nvCxnSpPr>
      <xdr:spPr>
        <a:xfrm flipH="1">
          <a:off x="4391025" y="6858000"/>
          <a:ext cx="381000" cy="0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514350</xdr:colOff>
      <xdr:row>6</xdr:row>
      <xdr:rowOff>9525</xdr:rowOff>
    </xdr:from>
    <xdr:to>
      <xdr:col>9</xdr:col>
      <xdr:colOff>238125</xdr:colOff>
      <xdr:row>15</xdr:row>
      <xdr:rowOff>9525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CxnSpPr/>
      </xdr:nvCxnSpPr>
      <xdr:spPr>
        <a:xfrm>
          <a:off x="4781550" y="1209675"/>
          <a:ext cx="942975" cy="1714500"/>
        </a:xfrm>
        <a:prstGeom prst="straightConnector1">
          <a:avLst/>
        </a:prstGeom>
        <a:ln w="22225"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22</xdr:row>
      <xdr:rowOff>142875</xdr:rowOff>
    </xdr:from>
    <xdr:to>
      <xdr:col>0</xdr:col>
      <xdr:colOff>561975</xdr:colOff>
      <xdr:row>23</xdr:row>
      <xdr:rowOff>133350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CxnSpPr/>
      </xdr:nvCxnSpPr>
      <xdr:spPr>
        <a:xfrm flipV="1">
          <a:off x="323850" y="2571750"/>
          <a:ext cx="238125" cy="1809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247650</xdr:colOff>
      <xdr:row>22</xdr:row>
      <xdr:rowOff>142875</xdr:rowOff>
    </xdr:from>
    <xdr:to>
      <xdr:col>1</xdr:col>
      <xdr:colOff>276225</xdr:colOff>
      <xdr:row>23</xdr:row>
      <xdr:rowOff>142875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CxnSpPr/>
      </xdr:nvCxnSpPr>
      <xdr:spPr>
        <a:xfrm flipH="1" flipV="1">
          <a:off x="857250" y="2571750"/>
          <a:ext cx="28575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22</xdr:row>
      <xdr:rowOff>171450</xdr:rowOff>
    </xdr:from>
    <xdr:to>
      <xdr:col>3</xdr:col>
      <xdr:colOff>142875</xdr:colOff>
      <xdr:row>23</xdr:row>
      <xdr:rowOff>161925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CxnSpPr/>
      </xdr:nvCxnSpPr>
      <xdr:spPr>
        <a:xfrm flipH="1" flipV="1">
          <a:off x="1266825" y="2600325"/>
          <a:ext cx="704850" cy="1809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</xdr:row>
          <xdr:rowOff>95250</xdr:rowOff>
        </xdr:from>
        <xdr:to>
          <xdr:col>17</xdr:col>
          <xdr:colOff>219075</xdr:colOff>
          <xdr:row>8</xdr:row>
          <xdr:rowOff>38100</xdr:rowOff>
        </xdr:to>
        <xdr:sp macro="" textlink="">
          <xdr:nvSpPr>
            <xdr:cNvPr id="7169" name="List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142875</xdr:colOff>
      <xdr:row>1</xdr:row>
      <xdr:rowOff>0</xdr:rowOff>
    </xdr:from>
    <xdr:to>
      <xdr:col>15</xdr:col>
      <xdr:colOff>447675</xdr:colOff>
      <xdr:row>15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19</xdr:row>
          <xdr:rowOff>19050</xdr:rowOff>
        </xdr:from>
        <xdr:to>
          <xdr:col>17</xdr:col>
          <xdr:colOff>276225</xdr:colOff>
          <xdr:row>26</xdr:row>
          <xdr:rowOff>85725</xdr:rowOff>
        </xdr:to>
        <xdr:sp macro="" textlink="">
          <xdr:nvSpPr>
            <xdr:cNvPr id="7170" name="List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171450</xdr:colOff>
      <xdr:row>17</xdr:row>
      <xdr:rowOff>28575</xdr:rowOff>
    </xdr:from>
    <xdr:to>
      <xdr:col>15</xdr:col>
      <xdr:colOff>476250</xdr:colOff>
      <xdr:row>31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35</xdr:row>
          <xdr:rowOff>66675</xdr:rowOff>
        </xdr:from>
        <xdr:to>
          <xdr:col>17</xdr:col>
          <xdr:colOff>400050</xdr:colOff>
          <xdr:row>42</xdr:row>
          <xdr:rowOff>9525</xdr:rowOff>
        </xdr:to>
        <xdr:sp macro="" textlink="">
          <xdr:nvSpPr>
            <xdr:cNvPr id="7171" name="List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1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276225</xdr:colOff>
      <xdr:row>34</xdr:row>
      <xdr:rowOff>28575</xdr:rowOff>
    </xdr:from>
    <xdr:to>
      <xdr:col>15</xdr:col>
      <xdr:colOff>581025</xdr:colOff>
      <xdr:row>48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53</xdr:row>
          <xdr:rowOff>47625</xdr:rowOff>
        </xdr:from>
        <xdr:to>
          <xdr:col>17</xdr:col>
          <xdr:colOff>552450</xdr:colOff>
          <xdr:row>59</xdr:row>
          <xdr:rowOff>180975</xdr:rowOff>
        </xdr:to>
        <xdr:sp macro="" textlink="">
          <xdr:nvSpPr>
            <xdr:cNvPr id="7172" name="List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1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342900</xdr:colOff>
      <xdr:row>52</xdr:row>
      <xdr:rowOff>152400</xdr:rowOff>
    </xdr:from>
    <xdr:to>
      <xdr:col>16</xdr:col>
      <xdr:colOff>38100</xdr:colOff>
      <xdr:row>67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571500</xdr:colOff>
          <xdr:row>71</xdr:row>
          <xdr:rowOff>171450</xdr:rowOff>
        </xdr:from>
        <xdr:to>
          <xdr:col>17</xdr:col>
          <xdr:colOff>142875</xdr:colOff>
          <xdr:row>78</xdr:row>
          <xdr:rowOff>114300</xdr:rowOff>
        </xdr:to>
        <xdr:sp macro="" textlink="">
          <xdr:nvSpPr>
            <xdr:cNvPr id="7173" name="List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1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123825</xdr:colOff>
      <xdr:row>69</xdr:row>
      <xdr:rowOff>85725</xdr:rowOff>
    </xdr:from>
    <xdr:to>
      <xdr:col>15</xdr:col>
      <xdr:colOff>428625</xdr:colOff>
      <xdr:row>83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142875</xdr:colOff>
      <xdr:row>0</xdr:row>
      <xdr:rowOff>142875</xdr:rowOff>
    </xdr:from>
    <xdr:to>
      <xdr:col>19</xdr:col>
      <xdr:colOff>514350</xdr:colOff>
      <xdr:row>1</xdr:row>
      <xdr:rowOff>19050</xdr:rowOff>
    </xdr:to>
    <xdr:sp macro="" textlink="">
      <xdr:nvSpPr>
        <xdr:cNvPr id="2" name="Notched Right Arrow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1515725" y="142875"/>
          <a:ext cx="981075" cy="285750"/>
        </a:xfrm>
        <a:prstGeom prst="notched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1</xdr:row>
      <xdr:rowOff>0</xdr:rowOff>
    </xdr:from>
    <xdr:to>
      <xdr:col>10</xdr:col>
      <xdr:colOff>142875</xdr:colOff>
      <xdr:row>4</xdr:row>
      <xdr:rowOff>171450</xdr:rowOff>
    </xdr:to>
    <xdr:sp macro="[0]!DATAENTTRY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4705350" y="190500"/>
          <a:ext cx="1447800" cy="7429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</a:t>
          </a:r>
          <a:r>
            <a:rPr lang="en-US" sz="2000"/>
            <a:t>ENTRY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ERSONAL"/>
    </sheetNames>
    <definedNames>
      <definedName name="VVVVV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G77"/>
  <sheetViews>
    <sheetView zoomScale="110" zoomScaleNormal="110" workbookViewId="0"/>
  </sheetViews>
  <sheetFormatPr defaultRowHeight="15" x14ac:dyDescent="0.25"/>
  <cols>
    <col min="1" max="1" width="13.7109375" bestFit="1" customWidth="1"/>
    <col min="2" max="3" width="7.140625" bestFit="1" customWidth="1"/>
    <col min="4" max="4" width="13.7109375" bestFit="1" customWidth="1"/>
    <col min="6" max="6" width="13.7109375" bestFit="1" customWidth="1"/>
    <col min="11" max="11" width="13.7109375" bestFit="1" customWidth="1"/>
    <col min="12" max="13" width="6.42578125" bestFit="1" customWidth="1"/>
    <col min="42" max="42" width="13.7109375" bestFit="1" customWidth="1"/>
    <col min="43" max="44" width="7.7109375" bestFit="1" customWidth="1"/>
    <col min="55" max="55" width="13.7109375" bestFit="1" customWidth="1"/>
    <col min="56" max="56" width="7.140625" bestFit="1" customWidth="1"/>
    <col min="57" max="57" width="13.7109375" bestFit="1" customWidth="1"/>
    <col min="58" max="59" width="7.140625" bestFit="1" customWidth="1"/>
    <col min="60" max="60" width="2" bestFit="1" customWidth="1"/>
  </cols>
  <sheetData>
    <row r="1" spans="1:26" ht="19.5" x14ac:dyDescent="0.3">
      <c r="B1">
        <v>2015</v>
      </c>
      <c r="C1">
        <v>2016</v>
      </c>
      <c r="D1">
        <v>2017</v>
      </c>
      <c r="E1" t="s">
        <v>191</v>
      </c>
      <c r="H1" s="36" t="s">
        <v>271</v>
      </c>
      <c r="I1" s="34" t="s">
        <v>269</v>
      </c>
      <c r="J1" s="34"/>
      <c r="K1" s="4"/>
      <c r="X1">
        <v>10</v>
      </c>
      <c r="Y1">
        <v>20</v>
      </c>
      <c r="Z1">
        <v>30</v>
      </c>
    </row>
    <row r="2" spans="1:26" x14ac:dyDescent="0.25">
      <c r="A2" t="s">
        <v>186</v>
      </c>
      <c r="B2">
        <v>15</v>
      </c>
      <c r="C2">
        <v>90</v>
      </c>
      <c r="D2">
        <v>40</v>
      </c>
      <c r="E2">
        <f>SUM(B2:D2)</f>
        <v>145</v>
      </c>
      <c r="H2" s="36" t="s">
        <v>272</v>
      </c>
      <c r="I2" s="2" t="s">
        <v>270</v>
      </c>
      <c r="J2" s="2"/>
      <c r="K2" s="2"/>
      <c r="L2" s="2"/>
      <c r="M2" s="2"/>
      <c r="N2" s="2"/>
      <c r="O2" s="2"/>
      <c r="P2" s="2"/>
      <c r="X2">
        <v>10</v>
      </c>
    </row>
    <row r="3" spans="1:26" x14ac:dyDescent="0.25">
      <c r="A3" t="s">
        <v>187</v>
      </c>
      <c r="B3">
        <v>20</v>
      </c>
      <c r="C3">
        <v>80</v>
      </c>
      <c r="D3">
        <v>50</v>
      </c>
      <c r="E3">
        <f t="shared" ref="E3:E6" si="0">SUM(B3:D3)</f>
        <v>150</v>
      </c>
    </row>
    <row r="4" spans="1:26" x14ac:dyDescent="0.25">
      <c r="A4" t="s">
        <v>188</v>
      </c>
      <c r="B4">
        <v>80</v>
      </c>
      <c r="C4">
        <v>70</v>
      </c>
      <c r="D4">
        <v>60</v>
      </c>
      <c r="E4">
        <f t="shared" si="0"/>
        <v>210</v>
      </c>
    </row>
    <row r="5" spans="1:26" x14ac:dyDescent="0.25">
      <c r="A5" t="s">
        <v>189</v>
      </c>
      <c r="B5">
        <v>10</v>
      </c>
      <c r="C5">
        <v>60</v>
      </c>
      <c r="D5">
        <v>70</v>
      </c>
      <c r="E5">
        <f t="shared" si="0"/>
        <v>140</v>
      </c>
    </row>
    <row r="6" spans="1:26" x14ac:dyDescent="0.25">
      <c r="A6" t="s">
        <v>190</v>
      </c>
      <c r="B6">
        <v>15</v>
      </c>
      <c r="C6">
        <v>50</v>
      </c>
      <c r="D6">
        <v>80</v>
      </c>
      <c r="E6">
        <f t="shared" si="0"/>
        <v>145</v>
      </c>
    </row>
    <row r="10" spans="1:26" ht="19.5" x14ac:dyDescent="0.3">
      <c r="A10" s="34" t="s">
        <v>192</v>
      </c>
      <c r="B10" s="4"/>
      <c r="C10" s="4"/>
      <c r="D10" s="4"/>
    </row>
    <row r="11" spans="1:26" x14ac:dyDescent="0.25">
      <c r="A11" s="6" t="s">
        <v>193</v>
      </c>
    </row>
    <row r="12" spans="1:26" x14ac:dyDescent="0.25">
      <c r="A12" s="6" t="s">
        <v>194</v>
      </c>
    </row>
    <row r="13" spans="1:26" x14ac:dyDescent="0.25">
      <c r="A13" t="s">
        <v>195</v>
      </c>
    </row>
    <row r="15" spans="1:26" x14ac:dyDescent="0.25">
      <c r="A15" s="6" t="s">
        <v>196</v>
      </c>
    </row>
    <row r="16" spans="1:26" x14ac:dyDescent="0.25">
      <c r="A16" t="s">
        <v>200</v>
      </c>
    </row>
    <row r="17" spans="1:44" x14ac:dyDescent="0.25">
      <c r="A17" t="s">
        <v>201</v>
      </c>
    </row>
    <row r="18" spans="1:44" x14ac:dyDescent="0.25">
      <c r="A18" t="s">
        <v>202</v>
      </c>
    </row>
    <row r="20" spans="1:44" x14ac:dyDescent="0.25">
      <c r="A20" t="s">
        <v>203</v>
      </c>
    </row>
    <row r="22" spans="1:44" x14ac:dyDescent="0.25">
      <c r="A22" s="6" t="s">
        <v>197</v>
      </c>
    </row>
    <row r="23" spans="1:44" x14ac:dyDescent="0.25">
      <c r="A23" s="6" t="s">
        <v>198</v>
      </c>
    </row>
    <row r="24" spans="1:44" x14ac:dyDescent="0.25">
      <c r="A24" s="6" t="s">
        <v>199</v>
      </c>
    </row>
    <row r="25" spans="1:44" x14ac:dyDescent="0.25">
      <c r="A25" s="6" t="s">
        <v>204</v>
      </c>
    </row>
    <row r="26" spans="1:44" x14ac:dyDescent="0.25">
      <c r="A26" s="6" t="s">
        <v>205</v>
      </c>
    </row>
    <row r="27" spans="1:44" x14ac:dyDescent="0.25">
      <c r="A27" s="6" t="s">
        <v>206</v>
      </c>
    </row>
    <row r="28" spans="1:44" x14ac:dyDescent="0.25">
      <c r="A28" s="6" t="s">
        <v>207</v>
      </c>
    </row>
    <row r="29" spans="1:44" x14ac:dyDescent="0.25">
      <c r="AQ29">
        <v>2015</v>
      </c>
      <c r="AR29">
        <v>2016</v>
      </c>
    </row>
    <row r="30" spans="1:44" x14ac:dyDescent="0.25">
      <c r="AP30" t="s">
        <v>0</v>
      </c>
      <c r="AQ30">
        <v>62500</v>
      </c>
      <c r="AR30">
        <v>68750</v>
      </c>
    </row>
    <row r="31" spans="1:44" x14ac:dyDescent="0.25">
      <c r="AP31" t="s">
        <v>1</v>
      </c>
      <c r="AQ31">
        <v>350000</v>
      </c>
      <c r="AR31">
        <v>385000</v>
      </c>
    </row>
    <row r="32" spans="1:44" x14ac:dyDescent="0.25">
      <c r="AP32" t="s">
        <v>2</v>
      </c>
      <c r="AQ32">
        <v>-287500</v>
      </c>
      <c r="AR32">
        <v>-316250</v>
      </c>
    </row>
    <row r="33" spans="42:44" x14ac:dyDescent="0.25">
      <c r="AP33" t="s">
        <v>39</v>
      </c>
      <c r="AQ33">
        <v>12500</v>
      </c>
      <c r="AR33">
        <v>13750</v>
      </c>
    </row>
    <row r="34" spans="42:44" x14ac:dyDescent="0.25">
      <c r="AP34" t="s">
        <v>4</v>
      </c>
      <c r="AQ34">
        <v>36500</v>
      </c>
      <c r="AR34">
        <v>40150</v>
      </c>
    </row>
    <row r="35" spans="42:44" x14ac:dyDescent="0.25">
      <c r="AP35" t="s">
        <v>5</v>
      </c>
      <c r="AQ35">
        <v>12470</v>
      </c>
      <c r="AR35">
        <v>13717</v>
      </c>
    </row>
    <row r="36" spans="42:44" x14ac:dyDescent="0.25">
      <c r="AP36" t="s">
        <v>6</v>
      </c>
      <c r="AQ36">
        <v>-348970</v>
      </c>
      <c r="AR36">
        <v>-383867</v>
      </c>
    </row>
    <row r="63" spans="57:59" x14ac:dyDescent="0.25">
      <c r="BF63">
        <v>2015</v>
      </c>
      <c r="BG63">
        <v>2016</v>
      </c>
    </row>
    <row r="64" spans="57:59" x14ac:dyDescent="0.25">
      <c r="BE64" t="s">
        <v>0</v>
      </c>
      <c r="BF64">
        <v>125000</v>
      </c>
      <c r="BG64">
        <v>137500</v>
      </c>
    </row>
    <row r="65" spans="42:59" x14ac:dyDescent="0.25">
      <c r="BE65" t="s">
        <v>1</v>
      </c>
      <c r="BF65">
        <v>25000</v>
      </c>
      <c r="BG65">
        <v>27500</v>
      </c>
    </row>
    <row r="66" spans="42:59" x14ac:dyDescent="0.25">
      <c r="BE66" t="s">
        <v>2</v>
      </c>
      <c r="BF66">
        <v>100000</v>
      </c>
      <c r="BG66">
        <v>110000</v>
      </c>
    </row>
    <row r="67" spans="42:59" x14ac:dyDescent="0.25">
      <c r="BE67" t="s">
        <v>39</v>
      </c>
      <c r="BF67">
        <v>35000</v>
      </c>
      <c r="BG67">
        <v>38500</v>
      </c>
    </row>
    <row r="68" spans="42:59" x14ac:dyDescent="0.25">
      <c r="BE68" t="s">
        <v>4</v>
      </c>
      <c r="BF68">
        <v>5000</v>
      </c>
      <c r="BG68">
        <v>5500</v>
      </c>
    </row>
    <row r="69" spans="42:59" x14ac:dyDescent="0.25">
      <c r="BE69" t="s">
        <v>5</v>
      </c>
      <c r="BF69">
        <v>3000</v>
      </c>
      <c r="BG69">
        <v>3300</v>
      </c>
    </row>
    <row r="70" spans="42:59" x14ac:dyDescent="0.25">
      <c r="AQ70">
        <v>2015</v>
      </c>
      <c r="AR70">
        <v>2016</v>
      </c>
      <c r="BE70" t="s">
        <v>6</v>
      </c>
      <c r="BF70">
        <v>57000</v>
      </c>
      <c r="BG70">
        <v>62700</v>
      </c>
    </row>
    <row r="71" spans="42:59" x14ac:dyDescent="0.25">
      <c r="AP71" t="s">
        <v>0</v>
      </c>
      <c r="AQ71">
        <v>50000</v>
      </c>
      <c r="AR71">
        <f>AQ71+(AQ71*10%)</f>
        <v>55000</v>
      </c>
    </row>
    <row r="72" spans="42:59" x14ac:dyDescent="0.25">
      <c r="AP72" t="s">
        <v>1</v>
      </c>
      <c r="AQ72">
        <v>20000</v>
      </c>
      <c r="AR72">
        <f t="shared" ref="AR72:AR77" si="1">AQ72+(AQ72*10%)</f>
        <v>22000</v>
      </c>
    </row>
    <row r="73" spans="42:59" x14ac:dyDescent="0.25">
      <c r="AP73" t="s">
        <v>2</v>
      </c>
      <c r="AQ73">
        <f>AQ71-AQ72</f>
        <v>30000</v>
      </c>
      <c r="AR73">
        <f t="shared" si="1"/>
        <v>33000</v>
      </c>
    </row>
    <row r="74" spans="42:59" x14ac:dyDescent="0.25">
      <c r="AP74" t="s">
        <v>3</v>
      </c>
      <c r="AQ74">
        <v>5000</v>
      </c>
      <c r="AR74">
        <f t="shared" si="1"/>
        <v>5500</v>
      </c>
    </row>
    <row r="75" spans="42:59" x14ac:dyDescent="0.25">
      <c r="AP75" t="s">
        <v>4</v>
      </c>
      <c r="AQ75">
        <v>3000</v>
      </c>
      <c r="AR75">
        <f t="shared" si="1"/>
        <v>3300</v>
      </c>
    </row>
    <row r="76" spans="42:59" x14ac:dyDescent="0.25">
      <c r="AP76" t="s">
        <v>5</v>
      </c>
      <c r="AQ76">
        <v>2000</v>
      </c>
      <c r="AR76">
        <f t="shared" si="1"/>
        <v>2200</v>
      </c>
    </row>
    <row r="77" spans="42:59" x14ac:dyDescent="0.25">
      <c r="AP77" t="s">
        <v>6</v>
      </c>
      <c r="AQ77">
        <f>AQ73-AQ74-AQ75-AQ76</f>
        <v>20000</v>
      </c>
      <c r="AR77">
        <f t="shared" si="1"/>
        <v>22000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VVVVV">
                <anchor moveWithCells="1" sizeWithCells="1">
                  <from>
                    <xdr:col>5</xdr:col>
                    <xdr:colOff>657225</xdr:colOff>
                    <xdr:row>1</xdr:row>
                    <xdr:rowOff>133350</xdr:rowOff>
                  </from>
                  <to>
                    <xdr:col>6</xdr:col>
                    <xdr:colOff>371475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33"/>
  <sheetViews>
    <sheetView zoomScale="140" zoomScaleNormal="140" workbookViewId="0"/>
  </sheetViews>
  <sheetFormatPr defaultRowHeight="15" x14ac:dyDescent="0.25"/>
  <cols>
    <col min="1" max="1" width="15.140625" customWidth="1"/>
    <col min="2" max="2" width="20.28515625" customWidth="1"/>
    <col min="3" max="3" width="23.28515625" customWidth="1"/>
    <col min="5" max="5" width="12.85546875" customWidth="1"/>
  </cols>
  <sheetData>
    <row r="1" spans="1:26" x14ac:dyDescent="0.25">
      <c r="A1" s="1" t="s">
        <v>7</v>
      </c>
      <c r="B1" s="1"/>
      <c r="X1">
        <v>10</v>
      </c>
      <c r="Y1">
        <v>20</v>
      </c>
      <c r="Z1">
        <v>30</v>
      </c>
    </row>
    <row r="2" spans="1:26" x14ac:dyDescent="0.25">
      <c r="X2">
        <v>10</v>
      </c>
    </row>
    <row r="3" spans="1:26" x14ac:dyDescent="0.25">
      <c r="A3" s="1" t="s">
        <v>8</v>
      </c>
      <c r="B3" t="s">
        <v>10</v>
      </c>
    </row>
    <row r="4" spans="1:26" x14ac:dyDescent="0.25">
      <c r="A4" s="1" t="s">
        <v>9</v>
      </c>
      <c r="B4" t="s">
        <v>11</v>
      </c>
    </row>
    <row r="5" spans="1:26" x14ac:dyDescent="0.25">
      <c r="C5" s="3" t="s">
        <v>26</v>
      </c>
    </row>
    <row r="6" spans="1:26" x14ac:dyDescent="0.25">
      <c r="A6" s="2" t="s">
        <v>12</v>
      </c>
      <c r="B6" s="2" t="s">
        <v>13</v>
      </c>
      <c r="C6" s="2" t="s">
        <v>14</v>
      </c>
    </row>
    <row r="7" spans="1:26" x14ac:dyDescent="0.25">
      <c r="A7" t="s">
        <v>16</v>
      </c>
      <c r="B7" t="s">
        <v>15</v>
      </c>
      <c r="C7" t="s">
        <v>25</v>
      </c>
      <c r="E7" s="2" t="s">
        <v>27</v>
      </c>
      <c r="F7" t="s">
        <v>29</v>
      </c>
    </row>
    <row r="8" spans="1:26" x14ac:dyDescent="0.25">
      <c r="A8" t="s">
        <v>17</v>
      </c>
      <c r="B8" t="s">
        <v>22</v>
      </c>
      <c r="C8" t="s">
        <v>22</v>
      </c>
      <c r="E8" s="2" t="s">
        <v>28</v>
      </c>
      <c r="F8" t="s">
        <v>30</v>
      </c>
    </row>
    <row r="9" spans="1:26" x14ac:dyDescent="0.25">
      <c r="A9" t="s">
        <v>19</v>
      </c>
      <c r="B9" t="s">
        <v>18</v>
      </c>
      <c r="C9" t="s">
        <v>18</v>
      </c>
    </row>
    <row r="10" spans="1:26" x14ac:dyDescent="0.25">
      <c r="A10" t="s">
        <v>20</v>
      </c>
      <c r="B10" t="s">
        <v>23</v>
      </c>
      <c r="C10" t="s">
        <v>23</v>
      </c>
      <c r="E10" s="2" t="s">
        <v>37</v>
      </c>
    </row>
    <row r="11" spans="1:26" x14ac:dyDescent="0.25">
      <c r="A11" t="s">
        <v>21</v>
      </c>
      <c r="B11" t="s">
        <v>24</v>
      </c>
      <c r="C11" t="s">
        <v>24</v>
      </c>
    </row>
    <row r="14" spans="1:26" x14ac:dyDescent="0.25">
      <c r="A14" s="2" t="s">
        <v>9</v>
      </c>
    </row>
    <row r="15" spans="1:26" x14ac:dyDescent="0.25">
      <c r="A15" t="s">
        <v>31</v>
      </c>
    </row>
    <row r="16" spans="1:26" x14ac:dyDescent="0.25">
      <c r="A16" t="s">
        <v>32</v>
      </c>
    </row>
    <row r="17" spans="1:1" x14ac:dyDescent="0.25">
      <c r="A17" t="s">
        <v>33</v>
      </c>
    </row>
    <row r="18" spans="1:1" x14ac:dyDescent="0.25">
      <c r="A18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2" spans="1:1" x14ac:dyDescent="0.25">
      <c r="A22" t="s">
        <v>38</v>
      </c>
    </row>
    <row r="25" spans="1:1" x14ac:dyDescent="0.25">
      <c r="A25" s="4" t="s">
        <v>40</v>
      </c>
    </row>
    <row r="26" spans="1:1" x14ac:dyDescent="0.25">
      <c r="A26" s="4" t="s">
        <v>41</v>
      </c>
    </row>
    <row r="29" spans="1:1" x14ac:dyDescent="0.25">
      <c r="A29" s="4" t="s">
        <v>42</v>
      </c>
    </row>
    <row r="30" spans="1:1" x14ac:dyDescent="0.25">
      <c r="A30" s="5" t="s">
        <v>43</v>
      </c>
    </row>
    <row r="31" spans="1:1" x14ac:dyDescent="0.25">
      <c r="A31" s="5" t="s">
        <v>44</v>
      </c>
    </row>
    <row r="32" spans="1:1" x14ac:dyDescent="0.25">
      <c r="A32" s="5" t="s">
        <v>45</v>
      </c>
    </row>
    <row r="33" spans="1:1" x14ac:dyDescent="0.25">
      <c r="A33" s="5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7"/>
  <sheetViews>
    <sheetView zoomScale="140" zoomScaleNormal="140" workbookViewId="0">
      <selection sqref="A1:C7"/>
    </sheetView>
  </sheetViews>
  <sheetFormatPr defaultRowHeight="15" x14ac:dyDescent="0.25"/>
  <cols>
    <col min="1" max="1" width="13.7109375" bestFit="1" customWidth="1"/>
    <col min="2" max="2" width="6.5703125" bestFit="1" customWidth="1"/>
    <col min="9" max="9" width="13.7109375" bestFit="1" customWidth="1"/>
    <col min="10" max="10" width="6" bestFit="1" customWidth="1"/>
    <col min="23" max="23" width="13.7109375" bestFit="1" customWidth="1"/>
    <col min="24" max="25" width="6" bestFit="1" customWidth="1"/>
  </cols>
  <sheetData>
    <row r="1" spans="1:26" x14ac:dyDescent="0.25">
      <c r="B1">
        <v>2015</v>
      </c>
      <c r="C1">
        <v>2016</v>
      </c>
      <c r="X1">
        <v>10</v>
      </c>
      <c r="Y1">
        <v>20</v>
      </c>
      <c r="Z1">
        <v>30</v>
      </c>
    </row>
    <row r="2" spans="1:26" x14ac:dyDescent="0.25">
      <c r="A2" t="s">
        <v>0</v>
      </c>
      <c r="B2">
        <v>50000</v>
      </c>
      <c r="C2">
        <v>55000</v>
      </c>
      <c r="X2">
        <v>10</v>
      </c>
    </row>
    <row r="3" spans="1:26" x14ac:dyDescent="0.25">
      <c r="A3" t="s">
        <v>1</v>
      </c>
      <c r="B3">
        <v>20000</v>
      </c>
      <c r="C3">
        <v>22000</v>
      </c>
    </row>
    <row r="4" spans="1:26" x14ac:dyDescent="0.25">
      <c r="A4" t="s">
        <v>2</v>
      </c>
      <c r="B4">
        <v>30000</v>
      </c>
      <c r="C4">
        <v>33000</v>
      </c>
    </row>
    <row r="5" spans="1:26" x14ac:dyDescent="0.25">
      <c r="A5" t="s">
        <v>208</v>
      </c>
      <c r="B5">
        <v>2000</v>
      </c>
      <c r="C5">
        <v>2200</v>
      </c>
    </row>
    <row r="6" spans="1:26" x14ac:dyDescent="0.25">
      <c r="A6" t="s">
        <v>47</v>
      </c>
      <c r="B6">
        <v>3000</v>
      </c>
      <c r="C6">
        <v>300</v>
      </c>
    </row>
    <row r="7" spans="1:26" x14ac:dyDescent="0.25">
      <c r="A7" t="s">
        <v>6</v>
      </c>
      <c r="B7">
        <v>25000</v>
      </c>
      <c r="C7">
        <v>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X1:AD86"/>
  <sheetViews>
    <sheetView zoomScale="120" zoomScaleNormal="120" workbookViewId="0"/>
  </sheetViews>
  <sheetFormatPr defaultRowHeight="15" x14ac:dyDescent="0.25"/>
  <cols>
    <col min="1" max="1" width="13.7109375" bestFit="1" customWidth="1"/>
  </cols>
  <sheetData>
    <row r="1" spans="24:30" x14ac:dyDescent="0.25">
      <c r="X1">
        <v>10</v>
      </c>
      <c r="Y1">
        <v>20</v>
      </c>
      <c r="Z1">
        <v>30</v>
      </c>
    </row>
    <row r="2" spans="24:30" x14ac:dyDescent="0.25">
      <c r="X2">
        <v>10</v>
      </c>
    </row>
    <row r="11" spans="24:30" x14ac:dyDescent="0.25">
      <c r="AD11">
        <v>2015</v>
      </c>
    </row>
    <row r="12" spans="24:30" x14ac:dyDescent="0.25">
      <c r="AC12" t="s">
        <v>0</v>
      </c>
      <c r="AD12">
        <v>50000</v>
      </c>
    </row>
    <row r="13" spans="24:30" x14ac:dyDescent="0.25">
      <c r="AC13" t="s">
        <v>1</v>
      </c>
      <c r="AD13">
        <v>20000</v>
      </c>
    </row>
    <row r="14" spans="24:30" x14ac:dyDescent="0.25">
      <c r="AC14" t="s">
        <v>2</v>
      </c>
      <c r="AD14">
        <v>30000</v>
      </c>
    </row>
    <row r="15" spans="24:30" x14ac:dyDescent="0.25">
      <c r="AC15" t="s">
        <v>39</v>
      </c>
      <c r="AD15">
        <v>5000</v>
      </c>
    </row>
    <row r="16" spans="24:30" x14ac:dyDescent="0.25">
      <c r="AC16" t="s">
        <v>4</v>
      </c>
      <c r="AD16">
        <v>3000</v>
      </c>
    </row>
    <row r="17" spans="29:30" x14ac:dyDescent="0.25">
      <c r="AC17" t="s">
        <v>5</v>
      </c>
      <c r="AD17">
        <v>2000</v>
      </c>
    </row>
    <row r="18" spans="29:30" x14ac:dyDescent="0.25">
      <c r="AC18" t="s">
        <v>6</v>
      </c>
      <c r="AD18">
        <v>20000</v>
      </c>
    </row>
    <row r="79" spans="29:30" x14ac:dyDescent="0.25">
      <c r="AD79">
        <v>2015</v>
      </c>
    </row>
    <row r="80" spans="29:30" x14ac:dyDescent="0.25">
      <c r="AC80" t="s">
        <v>0</v>
      </c>
      <c r="AD80">
        <v>50000</v>
      </c>
    </row>
    <row r="81" spans="29:30" x14ac:dyDescent="0.25">
      <c r="AC81" t="s">
        <v>1</v>
      </c>
      <c r="AD81">
        <v>20000</v>
      </c>
    </row>
    <row r="82" spans="29:30" x14ac:dyDescent="0.25">
      <c r="AC82" t="s">
        <v>2</v>
      </c>
      <c r="AD82">
        <v>30000</v>
      </c>
    </row>
    <row r="83" spans="29:30" x14ac:dyDescent="0.25">
      <c r="AC83" t="s">
        <v>39</v>
      </c>
      <c r="AD83">
        <v>5000</v>
      </c>
    </row>
    <row r="84" spans="29:30" x14ac:dyDescent="0.25">
      <c r="AC84" t="s">
        <v>4</v>
      </c>
      <c r="AD84">
        <v>3000</v>
      </c>
    </row>
    <row r="85" spans="29:30" x14ac:dyDescent="0.25">
      <c r="AC85" t="s">
        <v>5</v>
      </c>
      <c r="AD85">
        <v>2000</v>
      </c>
    </row>
    <row r="86" spans="29:30" x14ac:dyDescent="0.25">
      <c r="AC86" t="s">
        <v>6</v>
      </c>
      <c r="AD86">
        <v>20000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10"/>
  <sheetViews>
    <sheetView zoomScale="160" zoomScaleNormal="160" workbookViewId="0"/>
  </sheetViews>
  <sheetFormatPr defaultRowHeight="15" x14ac:dyDescent="0.25"/>
  <cols>
    <col min="1" max="6" width="4.5703125" customWidth="1"/>
  </cols>
  <sheetData>
    <row r="1" spans="1:26" x14ac:dyDescent="0.25">
      <c r="A1">
        <v>10</v>
      </c>
      <c r="B1">
        <v>10</v>
      </c>
      <c r="C1">
        <v>10</v>
      </c>
      <c r="D1">
        <v>10</v>
      </c>
      <c r="E1">
        <v>10</v>
      </c>
      <c r="F1">
        <v>10</v>
      </c>
      <c r="X1">
        <v>10</v>
      </c>
      <c r="Y1">
        <v>20</v>
      </c>
      <c r="Z1">
        <v>30</v>
      </c>
    </row>
    <row r="2" spans="1:26" x14ac:dyDescent="0.25">
      <c r="A2">
        <v>20</v>
      </c>
      <c r="B2">
        <v>20</v>
      </c>
      <c r="E2">
        <v>20</v>
      </c>
      <c r="F2">
        <v>20</v>
      </c>
    </row>
    <row r="3" spans="1:26" x14ac:dyDescent="0.25">
      <c r="A3">
        <v>30</v>
      </c>
      <c r="B3">
        <v>30</v>
      </c>
      <c r="C3">
        <v>30</v>
      </c>
      <c r="D3">
        <v>30</v>
      </c>
      <c r="E3">
        <v>30</v>
      </c>
      <c r="F3">
        <v>30</v>
      </c>
    </row>
    <row r="4" spans="1:26" x14ac:dyDescent="0.25">
      <c r="B4">
        <v>40</v>
      </c>
      <c r="C4">
        <v>40</v>
      </c>
      <c r="D4">
        <v>40</v>
      </c>
      <c r="E4">
        <v>40</v>
      </c>
      <c r="F4">
        <v>40</v>
      </c>
    </row>
    <row r="5" spans="1:26" x14ac:dyDescent="0.25">
      <c r="B5">
        <v>50</v>
      </c>
      <c r="C5">
        <v>50</v>
      </c>
      <c r="E5">
        <v>50</v>
      </c>
      <c r="F5">
        <v>50</v>
      </c>
    </row>
    <row r="6" spans="1:26" x14ac:dyDescent="0.25">
      <c r="A6">
        <v>60</v>
      </c>
      <c r="B6">
        <v>60</v>
      </c>
      <c r="C6">
        <v>60</v>
      </c>
      <c r="E6">
        <v>60</v>
      </c>
      <c r="F6">
        <v>60</v>
      </c>
    </row>
    <row r="7" spans="1:26" x14ac:dyDescent="0.25">
      <c r="A7">
        <v>70</v>
      </c>
      <c r="B7">
        <v>70</v>
      </c>
      <c r="C7">
        <v>70</v>
      </c>
      <c r="D7">
        <v>70</v>
      </c>
      <c r="E7">
        <v>70</v>
      </c>
      <c r="F7">
        <v>70</v>
      </c>
    </row>
    <row r="8" spans="1:26" x14ac:dyDescent="0.25">
      <c r="A8">
        <v>80</v>
      </c>
      <c r="B8">
        <v>80</v>
      </c>
      <c r="C8">
        <v>80</v>
      </c>
      <c r="D8">
        <v>80</v>
      </c>
      <c r="E8">
        <v>80</v>
      </c>
    </row>
    <row r="9" spans="1:26" x14ac:dyDescent="0.25">
      <c r="A9">
        <v>90</v>
      </c>
      <c r="B9">
        <v>90</v>
      </c>
      <c r="C9">
        <v>90</v>
      </c>
      <c r="D9">
        <v>90</v>
      </c>
      <c r="E9">
        <v>90</v>
      </c>
    </row>
    <row r="10" spans="1:26" x14ac:dyDescent="0.25">
      <c r="A10">
        <v>100</v>
      </c>
      <c r="B10">
        <v>100</v>
      </c>
      <c r="C10">
        <v>100</v>
      </c>
      <c r="D10">
        <v>100</v>
      </c>
      <c r="E10">
        <v>100</v>
      </c>
      <c r="F10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Z10"/>
  <sheetViews>
    <sheetView zoomScale="160" zoomScaleNormal="160" workbookViewId="0"/>
  </sheetViews>
  <sheetFormatPr defaultRowHeight="15" x14ac:dyDescent="0.25"/>
  <cols>
    <col min="1" max="6" width="4.5703125" customWidth="1"/>
  </cols>
  <sheetData>
    <row r="1" spans="1:26" x14ac:dyDescent="0.25">
      <c r="A1">
        <v>10</v>
      </c>
      <c r="B1">
        <v>10</v>
      </c>
      <c r="E1">
        <v>10</v>
      </c>
      <c r="F1">
        <v>10</v>
      </c>
      <c r="X1">
        <v>10</v>
      </c>
      <c r="Y1">
        <v>20</v>
      </c>
      <c r="Z1">
        <v>30</v>
      </c>
    </row>
    <row r="2" spans="1:26" x14ac:dyDescent="0.25">
      <c r="A2">
        <v>20</v>
      </c>
      <c r="B2">
        <v>20</v>
      </c>
      <c r="C2">
        <v>20</v>
      </c>
      <c r="D2">
        <v>20</v>
      </c>
      <c r="E2">
        <v>20</v>
      </c>
      <c r="F2">
        <v>20</v>
      </c>
    </row>
    <row r="3" spans="1:26" x14ac:dyDescent="0.25">
      <c r="A3">
        <v>30</v>
      </c>
      <c r="B3">
        <v>30</v>
      </c>
      <c r="C3">
        <v>30</v>
      </c>
      <c r="D3">
        <v>30</v>
      </c>
      <c r="E3">
        <v>30</v>
      </c>
      <c r="F3">
        <v>30</v>
      </c>
    </row>
    <row r="4" spans="1:26" x14ac:dyDescent="0.25">
      <c r="A4">
        <v>40</v>
      </c>
      <c r="B4">
        <v>40</v>
      </c>
      <c r="C4">
        <v>40</v>
      </c>
      <c r="D4">
        <v>40</v>
      </c>
      <c r="E4">
        <v>40</v>
      </c>
      <c r="F4">
        <v>40</v>
      </c>
    </row>
    <row r="5" spans="1:26" x14ac:dyDescent="0.25">
      <c r="A5">
        <v>50</v>
      </c>
      <c r="B5">
        <v>50</v>
      </c>
      <c r="D5">
        <v>50</v>
      </c>
      <c r="E5">
        <v>50</v>
      </c>
      <c r="F5">
        <v>50</v>
      </c>
    </row>
    <row r="6" spans="1:26" x14ac:dyDescent="0.25">
      <c r="A6">
        <v>60</v>
      </c>
      <c r="B6">
        <v>60</v>
      </c>
      <c r="D6">
        <v>60</v>
      </c>
      <c r="E6">
        <v>60</v>
      </c>
      <c r="F6">
        <v>60</v>
      </c>
    </row>
    <row r="7" spans="1:26" x14ac:dyDescent="0.25">
      <c r="C7">
        <v>70</v>
      </c>
      <c r="D7">
        <v>70</v>
      </c>
      <c r="E7">
        <v>70</v>
      </c>
      <c r="F7">
        <v>70</v>
      </c>
    </row>
    <row r="8" spans="1:26" x14ac:dyDescent="0.25">
      <c r="A8">
        <v>80</v>
      </c>
      <c r="B8">
        <v>80</v>
      </c>
      <c r="C8">
        <v>80</v>
      </c>
      <c r="D8">
        <v>80</v>
      </c>
      <c r="E8">
        <v>80</v>
      </c>
      <c r="F8">
        <v>80</v>
      </c>
    </row>
    <row r="9" spans="1:26" x14ac:dyDescent="0.25">
      <c r="A9">
        <v>90</v>
      </c>
      <c r="B9">
        <v>90</v>
      </c>
      <c r="C9">
        <v>90</v>
      </c>
      <c r="D9">
        <v>90</v>
      </c>
      <c r="E9">
        <v>90</v>
      </c>
      <c r="F9">
        <v>90</v>
      </c>
    </row>
    <row r="10" spans="1:26" x14ac:dyDescent="0.25">
      <c r="A10">
        <v>100</v>
      </c>
      <c r="B10">
        <v>100</v>
      </c>
      <c r="E10">
        <v>100</v>
      </c>
      <c r="F10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Z10"/>
  <sheetViews>
    <sheetView zoomScale="160" zoomScaleNormal="160" workbookViewId="0"/>
  </sheetViews>
  <sheetFormatPr defaultRowHeight="15" x14ac:dyDescent="0.25"/>
  <cols>
    <col min="1" max="6" width="4.5703125" customWidth="1"/>
  </cols>
  <sheetData>
    <row r="1" spans="1:26" x14ac:dyDescent="0.25">
      <c r="A1">
        <v>10</v>
      </c>
      <c r="D1">
        <v>10</v>
      </c>
      <c r="E1">
        <v>10</v>
      </c>
      <c r="F1">
        <v>10</v>
      </c>
      <c r="X1">
        <v>10</v>
      </c>
      <c r="Y1">
        <v>20</v>
      </c>
      <c r="Z1">
        <v>30</v>
      </c>
    </row>
    <row r="2" spans="1:26" x14ac:dyDescent="0.25">
      <c r="A2">
        <v>20</v>
      </c>
      <c r="B2">
        <v>20</v>
      </c>
      <c r="C2">
        <v>20</v>
      </c>
      <c r="D2">
        <v>20</v>
      </c>
      <c r="E2">
        <v>20</v>
      </c>
      <c r="F2">
        <v>20</v>
      </c>
    </row>
    <row r="3" spans="1:26" x14ac:dyDescent="0.25">
      <c r="A3">
        <v>30</v>
      </c>
      <c r="B3">
        <v>30</v>
      </c>
      <c r="C3">
        <v>30</v>
      </c>
      <c r="D3">
        <v>30</v>
      </c>
      <c r="E3">
        <v>30</v>
      </c>
      <c r="F3">
        <v>30</v>
      </c>
    </row>
    <row r="4" spans="1:26" x14ac:dyDescent="0.25">
      <c r="A4">
        <v>40</v>
      </c>
      <c r="B4">
        <v>40</v>
      </c>
      <c r="C4">
        <v>40</v>
      </c>
      <c r="E4">
        <v>40</v>
      </c>
      <c r="F4">
        <v>40</v>
      </c>
    </row>
    <row r="5" spans="1:26" x14ac:dyDescent="0.25">
      <c r="A5">
        <v>50</v>
      </c>
      <c r="B5">
        <v>50</v>
      </c>
      <c r="C5">
        <v>50</v>
      </c>
      <c r="E5">
        <v>50</v>
      </c>
      <c r="F5">
        <v>50</v>
      </c>
    </row>
    <row r="6" spans="1:26" x14ac:dyDescent="0.25">
      <c r="A6">
        <v>60</v>
      </c>
      <c r="B6">
        <v>60</v>
      </c>
      <c r="C6">
        <v>60</v>
      </c>
      <c r="D6">
        <v>60</v>
      </c>
      <c r="E6">
        <v>60</v>
      </c>
      <c r="F6">
        <v>60</v>
      </c>
    </row>
    <row r="7" spans="1:26" x14ac:dyDescent="0.25">
      <c r="A7">
        <v>70</v>
      </c>
      <c r="B7">
        <v>70</v>
      </c>
      <c r="C7">
        <v>70</v>
      </c>
      <c r="D7">
        <v>70</v>
      </c>
      <c r="F7">
        <v>70</v>
      </c>
    </row>
    <row r="8" spans="1:26" x14ac:dyDescent="0.25">
      <c r="A8">
        <v>80</v>
      </c>
      <c r="B8">
        <v>80</v>
      </c>
      <c r="C8">
        <v>80</v>
      </c>
      <c r="D8">
        <v>80</v>
      </c>
      <c r="F8">
        <v>80</v>
      </c>
    </row>
    <row r="9" spans="1:26" x14ac:dyDescent="0.25">
      <c r="A9">
        <v>90</v>
      </c>
      <c r="B9">
        <v>90</v>
      </c>
      <c r="C9">
        <v>90</v>
      </c>
      <c r="D9">
        <v>90</v>
      </c>
      <c r="E9">
        <v>90</v>
      </c>
      <c r="F9">
        <v>90</v>
      </c>
    </row>
    <row r="10" spans="1:26" x14ac:dyDescent="0.25">
      <c r="A10">
        <v>100</v>
      </c>
      <c r="B10">
        <v>100</v>
      </c>
      <c r="E10">
        <v>100</v>
      </c>
      <c r="F10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20"/>
  <sheetViews>
    <sheetView zoomScale="110" zoomScaleNormal="110" workbookViewId="0">
      <selection activeCell="K11" sqref="K11"/>
    </sheetView>
  </sheetViews>
  <sheetFormatPr defaultRowHeight="15" x14ac:dyDescent="0.25"/>
  <cols>
    <col min="1" max="6" width="4.140625" bestFit="1" customWidth="1"/>
    <col min="7" max="8" width="3.85546875" customWidth="1"/>
  </cols>
  <sheetData>
    <row r="1" spans="1:26" x14ac:dyDescent="0.25">
      <c r="A1">
        <v>10</v>
      </c>
      <c r="B1">
        <v>10</v>
      </c>
      <c r="C1">
        <v>10</v>
      </c>
      <c r="D1">
        <v>10</v>
      </c>
      <c r="E1">
        <v>10</v>
      </c>
      <c r="F1">
        <v>10</v>
      </c>
      <c r="X1">
        <v>10</v>
      </c>
      <c r="Y1">
        <v>20</v>
      </c>
      <c r="Z1">
        <v>30</v>
      </c>
    </row>
    <row r="2" spans="1:26" x14ac:dyDescent="0.25">
      <c r="A2">
        <v>20</v>
      </c>
      <c r="B2">
        <v>20</v>
      </c>
      <c r="E2">
        <v>20</v>
      </c>
      <c r="F2">
        <v>20</v>
      </c>
    </row>
    <row r="3" spans="1:26" x14ac:dyDescent="0.25">
      <c r="A3">
        <v>30</v>
      </c>
      <c r="B3">
        <v>30</v>
      </c>
      <c r="C3">
        <v>30</v>
      </c>
      <c r="D3">
        <v>30</v>
      </c>
      <c r="E3">
        <v>30</v>
      </c>
      <c r="F3">
        <v>30</v>
      </c>
    </row>
    <row r="4" spans="1:26" x14ac:dyDescent="0.25">
      <c r="B4">
        <v>40</v>
      </c>
      <c r="C4">
        <v>40</v>
      </c>
      <c r="D4">
        <v>40</v>
      </c>
      <c r="E4">
        <v>40</v>
      </c>
      <c r="F4">
        <v>40</v>
      </c>
    </row>
    <row r="5" spans="1:26" x14ac:dyDescent="0.25">
      <c r="B5">
        <v>50</v>
      </c>
      <c r="C5">
        <v>50</v>
      </c>
      <c r="E5">
        <v>50</v>
      </c>
      <c r="F5">
        <v>50</v>
      </c>
    </row>
    <row r="6" spans="1:26" x14ac:dyDescent="0.25">
      <c r="A6">
        <v>60</v>
      </c>
      <c r="B6">
        <v>60</v>
      </c>
      <c r="C6">
        <v>60</v>
      </c>
      <c r="E6">
        <v>60</v>
      </c>
      <c r="F6">
        <v>60</v>
      </c>
    </row>
    <row r="7" spans="1:26" x14ac:dyDescent="0.25">
      <c r="A7">
        <v>70</v>
      </c>
      <c r="B7">
        <v>70</v>
      </c>
      <c r="C7">
        <v>70</v>
      </c>
      <c r="D7">
        <v>70</v>
      </c>
      <c r="E7">
        <v>70</v>
      </c>
      <c r="F7">
        <v>70</v>
      </c>
    </row>
    <row r="8" spans="1:26" x14ac:dyDescent="0.25">
      <c r="A8">
        <v>80</v>
      </c>
      <c r="B8">
        <v>80</v>
      </c>
      <c r="C8">
        <v>80</v>
      </c>
      <c r="D8">
        <v>80</v>
      </c>
      <c r="E8">
        <v>80</v>
      </c>
    </row>
    <row r="9" spans="1:26" x14ac:dyDescent="0.25">
      <c r="A9">
        <v>90</v>
      </c>
      <c r="B9">
        <v>90</v>
      </c>
      <c r="C9">
        <v>90</v>
      </c>
      <c r="D9">
        <v>90</v>
      </c>
      <c r="E9">
        <v>90</v>
      </c>
    </row>
    <row r="10" spans="1:26" x14ac:dyDescent="0.25">
      <c r="A10">
        <v>100</v>
      </c>
      <c r="B10">
        <v>100</v>
      </c>
      <c r="C10">
        <v>100</v>
      </c>
      <c r="D10">
        <v>100</v>
      </c>
      <c r="E10">
        <v>100</v>
      </c>
      <c r="F10">
        <v>100</v>
      </c>
    </row>
    <row r="11" spans="1:26" x14ac:dyDescent="0.25">
      <c r="A11">
        <v>10</v>
      </c>
      <c r="B11">
        <v>10</v>
      </c>
      <c r="E11">
        <v>10</v>
      </c>
      <c r="F11">
        <v>10</v>
      </c>
    </row>
    <row r="12" spans="1:26" x14ac:dyDescent="0.25">
      <c r="A12">
        <v>20</v>
      </c>
      <c r="B12">
        <v>20</v>
      </c>
      <c r="C12">
        <v>20</v>
      </c>
      <c r="D12">
        <v>20</v>
      </c>
      <c r="E12">
        <v>20</v>
      </c>
      <c r="F12">
        <v>20</v>
      </c>
    </row>
    <row r="13" spans="1:26" x14ac:dyDescent="0.25">
      <c r="A13">
        <v>30</v>
      </c>
      <c r="B13">
        <v>30</v>
      </c>
      <c r="C13">
        <v>30</v>
      </c>
      <c r="D13">
        <v>30</v>
      </c>
      <c r="E13">
        <v>30</v>
      </c>
      <c r="F13">
        <v>30</v>
      </c>
    </row>
    <row r="14" spans="1:26" x14ac:dyDescent="0.25">
      <c r="A14">
        <v>40</v>
      </c>
      <c r="B14">
        <v>40</v>
      </c>
      <c r="C14">
        <v>40</v>
      </c>
      <c r="D14">
        <v>40</v>
      </c>
      <c r="E14">
        <v>40</v>
      </c>
      <c r="F14">
        <v>40</v>
      </c>
    </row>
    <row r="15" spans="1:26" x14ac:dyDescent="0.25">
      <c r="A15">
        <v>50</v>
      </c>
      <c r="B15">
        <v>50</v>
      </c>
      <c r="D15">
        <v>50</v>
      </c>
      <c r="E15">
        <v>50</v>
      </c>
      <c r="F15">
        <v>50</v>
      </c>
    </row>
    <row r="16" spans="1:26" x14ac:dyDescent="0.25">
      <c r="A16">
        <v>60</v>
      </c>
      <c r="B16">
        <v>60</v>
      </c>
      <c r="D16">
        <v>60</v>
      </c>
      <c r="E16">
        <v>60</v>
      </c>
      <c r="F16">
        <v>60</v>
      </c>
    </row>
    <row r="17" spans="1:6" x14ac:dyDescent="0.25">
      <c r="C17">
        <v>70</v>
      </c>
      <c r="D17">
        <v>70</v>
      </c>
      <c r="E17">
        <v>70</v>
      </c>
      <c r="F17">
        <v>70</v>
      </c>
    </row>
    <row r="18" spans="1:6" x14ac:dyDescent="0.25">
      <c r="A18">
        <v>80</v>
      </c>
      <c r="B18">
        <v>80</v>
      </c>
      <c r="C18">
        <v>80</v>
      </c>
      <c r="D18">
        <v>80</v>
      </c>
      <c r="E18">
        <v>80</v>
      </c>
      <c r="F18">
        <v>80</v>
      </c>
    </row>
    <row r="19" spans="1:6" x14ac:dyDescent="0.25">
      <c r="A19">
        <v>90</v>
      </c>
      <c r="B19">
        <v>90</v>
      </c>
      <c r="C19">
        <v>90</v>
      </c>
      <c r="D19">
        <v>90</v>
      </c>
      <c r="E19">
        <v>90</v>
      </c>
      <c r="F19">
        <v>90</v>
      </c>
    </row>
    <row r="20" spans="1:6" x14ac:dyDescent="0.25">
      <c r="A20">
        <v>100</v>
      </c>
      <c r="B20">
        <v>100</v>
      </c>
      <c r="E20">
        <v>100</v>
      </c>
      <c r="F20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Z1"/>
  <sheetViews>
    <sheetView tabSelected="1" workbookViewId="0">
      <selection activeCell="B1" sqref="B1"/>
    </sheetView>
  </sheetViews>
  <sheetFormatPr defaultRowHeight="15" x14ac:dyDescent="0.25"/>
  <sheetData>
    <row r="1" spans="1:26" x14ac:dyDescent="0.25">
      <c r="A1" t="s">
        <v>0</v>
      </c>
      <c r="B1">
        <v>50001</v>
      </c>
      <c r="X1">
        <v>10</v>
      </c>
      <c r="Y1">
        <v>20</v>
      </c>
      <c r="Z1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Z3"/>
  <sheetViews>
    <sheetView workbookViewId="0"/>
  </sheetViews>
  <sheetFormatPr defaultRowHeight="15" x14ac:dyDescent="0.25"/>
  <sheetData>
    <row r="1" spans="1:26" x14ac:dyDescent="0.25">
      <c r="A1" t="s">
        <v>0</v>
      </c>
      <c r="B1">
        <v>50000</v>
      </c>
      <c r="X1">
        <v>10</v>
      </c>
      <c r="Y1">
        <v>20</v>
      </c>
      <c r="Z1">
        <v>30</v>
      </c>
    </row>
    <row r="2" spans="1:26" x14ac:dyDescent="0.25">
      <c r="B2" t="s">
        <v>48</v>
      </c>
    </row>
    <row r="3" spans="1:26" x14ac:dyDescent="0.25">
      <c r="B3" t="s">
        <v>49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Z11"/>
  <sheetViews>
    <sheetView workbookViewId="0">
      <selection sqref="A1:C11"/>
    </sheetView>
  </sheetViews>
  <sheetFormatPr defaultRowHeight="15" x14ac:dyDescent="0.25"/>
  <sheetData>
    <row r="1" spans="1:26" x14ac:dyDescent="0.25">
      <c r="A1" t="s">
        <v>50</v>
      </c>
      <c r="B1" t="s">
        <v>51</v>
      </c>
      <c r="C1" t="s">
        <v>52</v>
      </c>
      <c r="X1">
        <v>10</v>
      </c>
      <c r="Y1">
        <v>20</v>
      </c>
      <c r="Z1">
        <v>30</v>
      </c>
    </row>
    <row r="2" spans="1:26" x14ac:dyDescent="0.25">
      <c r="A2" t="s">
        <v>53</v>
      </c>
      <c r="B2">
        <v>25</v>
      </c>
      <c r="C2" t="s">
        <v>63</v>
      </c>
    </row>
    <row r="3" spans="1:26" x14ac:dyDescent="0.25">
      <c r="A3" t="s">
        <v>54</v>
      </c>
      <c r="B3">
        <v>36</v>
      </c>
      <c r="C3" t="s">
        <v>63</v>
      </c>
    </row>
    <row r="4" spans="1:26" x14ac:dyDescent="0.25">
      <c r="A4" t="s">
        <v>55</v>
      </c>
      <c r="B4">
        <v>98</v>
      </c>
      <c r="C4" t="s">
        <v>64</v>
      </c>
    </row>
    <row r="5" spans="1:26" x14ac:dyDescent="0.25">
      <c r="A5" t="s">
        <v>56</v>
      </c>
      <c r="B5">
        <v>74</v>
      </c>
      <c r="C5" t="s">
        <v>64</v>
      </c>
    </row>
    <row r="6" spans="1:26" x14ac:dyDescent="0.25">
      <c r="A6" t="s">
        <v>57</v>
      </c>
      <c r="B6">
        <v>12</v>
      </c>
      <c r="C6" t="s">
        <v>63</v>
      </c>
    </row>
    <row r="7" spans="1:26" x14ac:dyDescent="0.25">
      <c r="A7" t="s">
        <v>58</v>
      </c>
      <c r="B7">
        <v>36</v>
      </c>
      <c r="C7" t="s">
        <v>63</v>
      </c>
    </row>
    <row r="8" spans="1:26" x14ac:dyDescent="0.25">
      <c r="A8" t="s">
        <v>59</v>
      </c>
      <c r="B8">
        <v>94</v>
      </c>
      <c r="C8" t="s">
        <v>64</v>
      </c>
    </row>
    <row r="9" spans="1:26" x14ac:dyDescent="0.25">
      <c r="A9" t="s">
        <v>60</v>
      </c>
      <c r="B9">
        <v>76</v>
      </c>
      <c r="C9" t="s">
        <v>64</v>
      </c>
    </row>
    <row r="10" spans="1:26" x14ac:dyDescent="0.25">
      <c r="A10" t="s">
        <v>61</v>
      </c>
      <c r="B10">
        <v>58</v>
      </c>
      <c r="C10" t="s">
        <v>64</v>
      </c>
    </row>
    <row r="11" spans="1:26" x14ac:dyDescent="0.25">
      <c r="A11" t="s">
        <v>62</v>
      </c>
      <c r="B11">
        <v>16</v>
      </c>
      <c r="C11" t="s">
        <v>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Z1"/>
  <sheetViews>
    <sheetView workbookViewId="0"/>
  </sheetViews>
  <sheetFormatPr defaultRowHeight="15" x14ac:dyDescent="0.25"/>
  <sheetData>
    <row r="1" spans="1:26" x14ac:dyDescent="0.25">
      <c r="A1" t="s">
        <v>0</v>
      </c>
      <c r="B1">
        <v>55000</v>
      </c>
      <c r="X1">
        <v>10</v>
      </c>
      <c r="Y1">
        <v>20</v>
      </c>
      <c r="Z1">
        <v>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Z11"/>
  <sheetViews>
    <sheetView workbookViewId="0"/>
  </sheetViews>
  <sheetFormatPr defaultRowHeight="15" x14ac:dyDescent="0.25"/>
  <sheetData>
    <row r="1" spans="1:26" x14ac:dyDescent="0.25">
      <c r="A1" t="s">
        <v>50</v>
      </c>
      <c r="B1" t="s">
        <v>51</v>
      </c>
      <c r="C1" t="s">
        <v>52</v>
      </c>
      <c r="X1">
        <v>10</v>
      </c>
      <c r="Y1">
        <v>20</v>
      </c>
      <c r="Z1">
        <v>30</v>
      </c>
    </row>
    <row r="2" spans="1:26" x14ac:dyDescent="0.25">
      <c r="A2" t="s">
        <v>53</v>
      </c>
      <c r="B2">
        <v>25</v>
      </c>
      <c r="C2" t="s">
        <v>63</v>
      </c>
    </row>
    <row r="3" spans="1:26" x14ac:dyDescent="0.25">
      <c r="A3" t="s">
        <v>54</v>
      </c>
      <c r="B3">
        <v>36</v>
      </c>
      <c r="C3" t="s">
        <v>63</v>
      </c>
    </row>
    <row r="4" spans="1:26" x14ac:dyDescent="0.25">
      <c r="A4" t="s">
        <v>55</v>
      </c>
      <c r="B4">
        <v>98</v>
      </c>
      <c r="C4" t="s">
        <v>64</v>
      </c>
    </row>
    <row r="5" spans="1:26" x14ac:dyDescent="0.25">
      <c r="A5" t="s">
        <v>56</v>
      </c>
      <c r="B5">
        <v>74</v>
      </c>
      <c r="C5" t="s">
        <v>64</v>
      </c>
    </row>
    <row r="6" spans="1:26" x14ac:dyDescent="0.25">
      <c r="A6" t="s">
        <v>57</v>
      </c>
      <c r="B6">
        <v>12</v>
      </c>
      <c r="C6" t="s">
        <v>63</v>
      </c>
    </row>
    <row r="7" spans="1:26" x14ac:dyDescent="0.25">
      <c r="A7" t="s">
        <v>58</v>
      </c>
      <c r="B7">
        <v>36</v>
      </c>
      <c r="C7" t="s">
        <v>63</v>
      </c>
    </row>
    <row r="8" spans="1:26" x14ac:dyDescent="0.25">
      <c r="A8" t="s">
        <v>59</v>
      </c>
      <c r="B8">
        <v>94</v>
      </c>
      <c r="C8" t="s">
        <v>64</v>
      </c>
    </row>
    <row r="9" spans="1:26" x14ac:dyDescent="0.25">
      <c r="A9" t="s">
        <v>60</v>
      </c>
      <c r="B9">
        <v>76</v>
      </c>
      <c r="C9" t="s">
        <v>64</v>
      </c>
    </row>
    <row r="10" spans="1:26" x14ac:dyDescent="0.25">
      <c r="A10" t="s">
        <v>61</v>
      </c>
      <c r="B10">
        <v>58</v>
      </c>
      <c r="C10" t="s">
        <v>64</v>
      </c>
    </row>
    <row r="11" spans="1:26" x14ac:dyDescent="0.25">
      <c r="A11" t="s">
        <v>62</v>
      </c>
      <c r="B11">
        <v>16</v>
      </c>
      <c r="C11" t="s">
        <v>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Z11"/>
  <sheetViews>
    <sheetView workbookViewId="0"/>
  </sheetViews>
  <sheetFormatPr defaultRowHeight="15" x14ac:dyDescent="0.25"/>
  <sheetData>
    <row r="1" spans="1:26" x14ac:dyDescent="0.25">
      <c r="A1">
        <v>500</v>
      </c>
      <c r="C1" s="6" t="s">
        <v>65</v>
      </c>
      <c r="X1">
        <v>10</v>
      </c>
      <c r="Y1">
        <v>20</v>
      </c>
      <c r="Z1">
        <v>30</v>
      </c>
    </row>
    <row r="2" spans="1:26" x14ac:dyDescent="0.25">
      <c r="A2">
        <v>1000</v>
      </c>
    </row>
    <row r="3" spans="1:26" x14ac:dyDescent="0.25">
      <c r="A3">
        <v>1500</v>
      </c>
    </row>
    <row r="4" spans="1:26" x14ac:dyDescent="0.25">
      <c r="A4">
        <v>2000</v>
      </c>
    </row>
    <row r="5" spans="1:26" x14ac:dyDescent="0.25">
      <c r="A5">
        <v>2500</v>
      </c>
    </row>
    <row r="6" spans="1:26" x14ac:dyDescent="0.25">
      <c r="A6">
        <v>3000</v>
      </c>
    </row>
    <row r="7" spans="1:26" x14ac:dyDescent="0.25">
      <c r="A7">
        <v>3500</v>
      </c>
    </row>
    <row r="8" spans="1:26" x14ac:dyDescent="0.25">
      <c r="A8">
        <v>4000</v>
      </c>
    </row>
    <row r="9" spans="1:26" x14ac:dyDescent="0.25">
      <c r="A9">
        <v>4500</v>
      </c>
    </row>
    <row r="10" spans="1:26" x14ac:dyDescent="0.25">
      <c r="A10">
        <v>5000</v>
      </c>
    </row>
    <row r="11" spans="1:26" x14ac:dyDescent="0.25">
      <c r="A11">
        <v>5500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Z11"/>
  <sheetViews>
    <sheetView workbookViewId="0">
      <selection sqref="A1:C11"/>
    </sheetView>
  </sheetViews>
  <sheetFormatPr defaultRowHeight="15" x14ac:dyDescent="0.25"/>
  <sheetData>
    <row r="1" spans="1:26" x14ac:dyDescent="0.25">
      <c r="A1" t="s">
        <v>50</v>
      </c>
      <c r="B1" t="s">
        <v>51</v>
      </c>
      <c r="C1" t="s">
        <v>52</v>
      </c>
      <c r="X1">
        <v>10</v>
      </c>
      <c r="Y1">
        <v>20</v>
      </c>
      <c r="Z1">
        <v>30</v>
      </c>
    </row>
    <row r="2" spans="1:26" x14ac:dyDescent="0.25">
      <c r="A2" t="s">
        <v>53</v>
      </c>
      <c r="B2">
        <v>25</v>
      </c>
      <c r="C2" t="s">
        <v>63</v>
      </c>
    </row>
    <row r="3" spans="1:26" x14ac:dyDescent="0.25">
      <c r="A3" t="s">
        <v>54</v>
      </c>
      <c r="B3">
        <v>36</v>
      </c>
      <c r="C3" t="s">
        <v>63</v>
      </c>
    </row>
    <row r="4" spans="1:26" x14ac:dyDescent="0.25">
      <c r="A4" t="s">
        <v>55</v>
      </c>
      <c r="B4">
        <v>98</v>
      </c>
      <c r="C4" t="s">
        <v>64</v>
      </c>
    </row>
    <row r="5" spans="1:26" x14ac:dyDescent="0.25">
      <c r="A5" t="s">
        <v>56</v>
      </c>
      <c r="B5">
        <v>74</v>
      </c>
      <c r="C5" t="s">
        <v>64</v>
      </c>
    </row>
    <row r="6" spans="1:26" x14ac:dyDescent="0.25">
      <c r="A6" t="s">
        <v>57</v>
      </c>
      <c r="B6">
        <v>12</v>
      </c>
      <c r="C6" t="s">
        <v>63</v>
      </c>
    </row>
    <row r="7" spans="1:26" x14ac:dyDescent="0.25">
      <c r="A7" t="s">
        <v>58</v>
      </c>
      <c r="B7">
        <v>36</v>
      </c>
      <c r="C7" t="s">
        <v>63</v>
      </c>
    </row>
    <row r="8" spans="1:26" x14ac:dyDescent="0.25">
      <c r="A8" t="s">
        <v>59</v>
      </c>
      <c r="B8">
        <v>94</v>
      </c>
      <c r="C8" t="s">
        <v>64</v>
      </c>
    </row>
    <row r="9" spans="1:26" x14ac:dyDescent="0.25">
      <c r="A9" t="s">
        <v>60</v>
      </c>
      <c r="B9">
        <v>76</v>
      </c>
      <c r="C9" t="s">
        <v>64</v>
      </c>
    </row>
    <row r="10" spans="1:26" x14ac:dyDescent="0.25">
      <c r="A10" t="s">
        <v>61</v>
      </c>
      <c r="B10">
        <v>58</v>
      </c>
      <c r="C10" t="s">
        <v>64</v>
      </c>
    </row>
    <row r="11" spans="1:26" x14ac:dyDescent="0.25">
      <c r="A11" t="s">
        <v>62</v>
      </c>
      <c r="B11">
        <v>16</v>
      </c>
      <c r="C11" t="s">
        <v>63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Z11"/>
  <sheetViews>
    <sheetView workbookViewId="0">
      <selection activeCell="A5" sqref="A5"/>
    </sheetView>
  </sheetViews>
  <sheetFormatPr defaultRowHeight="15" x14ac:dyDescent="0.25"/>
  <sheetData>
    <row r="1" spans="1:26" x14ac:dyDescent="0.25">
      <c r="A1" t="s">
        <v>50</v>
      </c>
      <c r="B1" t="s">
        <v>51</v>
      </c>
      <c r="C1" t="s">
        <v>66</v>
      </c>
      <c r="D1" t="s">
        <v>67</v>
      </c>
      <c r="X1">
        <v>10</v>
      </c>
      <c r="Y1">
        <v>20</v>
      </c>
      <c r="Z1">
        <v>30</v>
      </c>
    </row>
    <row r="2" spans="1:26" x14ac:dyDescent="0.25">
      <c r="A2" t="s">
        <v>53</v>
      </c>
      <c r="B2">
        <v>25</v>
      </c>
      <c r="C2" s="5" t="s">
        <v>63</v>
      </c>
      <c r="D2" s="9"/>
    </row>
    <row r="3" spans="1:26" x14ac:dyDescent="0.25">
      <c r="A3" t="s">
        <v>54</v>
      </c>
      <c r="B3">
        <v>36</v>
      </c>
      <c r="C3" s="5" t="s">
        <v>63</v>
      </c>
      <c r="D3" s="9"/>
    </row>
    <row r="4" spans="1:26" x14ac:dyDescent="0.25">
      <c r="A4" t="s">
        <v>55</v>
      </c>
      <c r="B4">
        <v>98</v>
      </c>
      <c r="C4" s="5" t="s">
        <v>53</v>
      </c>
      <c r="D4" s="10"/>
    </row>
    <row r="5" spans="1:26" x14ac:dyDescent="0.25">
      <c r="A5" t="s">
        <v>56</v>
      </c>
      <c r="B5">
        <v>74</v>
      </c>
      <c r="C5" s="5" t="s">
        <v>55</v>
      </c>
      <c r="D5" s="11"/>
      <c r="G5" t="s">
        <v>71</v>
      </c>
      <c r="H5" s="7"/>
    </row>
    <row r="6" spans="1:26" x14ac:dyDescent="0.25">
      <c r="A6" t="s">
        <v>57</v>
      </c>
      <c r="B6">
        <v>12</v>
      </c>
      <c r="C6" s="5" t="s">
        <v>63</v>
      </c>
      <c r="D6" s="9"/>
      <c r="G6" t="s">
        <v>70</v>
      </c>
      <c r="H6" s="4"/>
    </row>
    <row r="7" spans="1:26" x14ac:dyDescent="0.25">
      <c r="A7" t="s">
        <v>58</v>
      </c>
      <c r="B7">
        <v>86</v>
      </c>
      <c r="C7" s="5" t="s">
        <v>54</v>
      </c>
      <c r="D7" s="4"/>
      <c r="G7" t="s">
        <v>68</v>
      </c>
      <c r="H7" s="8"/>
    </row>
    <row r="8" spans="1:26" x14ac:dyDescent="0.25">
      <c r="A8" t="s">
        <v>59</v>
      </c>
      <c r="B8">
        <v>94</v>
      </c>
      <c r="C8" s="5" t="s">
        <v>53</v>
      </c>
      <c r="D8" s="10"/>
      <c r="G8" t="s">
        <v>69</v>
      </c>
      <c r="H8" s="9"/>
    </row>
    <row r="9" spans="1:26" x14ac:dyDescent="0.25">
      <c r="A9" t="s">
        <v>60</v>
      </c>
      <c r="B9">
        <v>76</v>
      </c>
      <c r="C9" s="5" t="s">
        <v>55</v>
      </c>
      <c r="D9" s="11"/>
      <c r="G9" t="s">
        <v>63</v>
      </c>
      <c r="H9" s="9"/>
    </row>
    <row r="10" spans="1:26" x14ac:dyDescent="0.25">
      <c r="A10" t="s">
        <v>61</v>
      </c>
      <c r="B10">
        <v>58</v>
      </c>
      <c r="C10" s="5" t="s">
        <v>63</v>
      </c>
      <c r="D10" s="9"/>
    </row>
    <row r="11" spans="1:26" x14ac:dyDescent="0.25">
      <c r="A11" t="s">
        <v>62</v>
      </c>
      <c r="B11">
        <v>16</v>
      </c>
      <c r="C11" s="5" t="s">
        <v>63</v>
      </c>
      <c r="D11" s="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Z5"/>
  <sheetViews>
    <sheetView workbookViewId="0"/>
  </sheetViews>
  <sheetFormatPr defaultRowHeight="15" x14ac:dyDescent="0.25"/>
  <sheetData>
    <row r="1" spans="1:26" ht="39" x14ac:dyDescent="0.6">
      <c r="A1" t="s">
        <v>276</v>
      </c>
      <c r="X1" s="12">
        <v>10</v>
      </c>
      <c r="Y1" s="12">
        <v>20</v>
      </c>
      <c r="Z1" s="12">
        <v>30</v>
      </c>
    </row>
    <row r="3" spans="1:26" x14ac:dyDescent="0.25">
      <c r="A3" t="s">
        <v>273</v>
      </c>
    </row>
    <row r="4" spans="1:26" x14ac:dyDescent="0.25">
      <c r="A4" t="s">
        <v>274</v>
      </c>
    </row>
    <row r="5" spans="1:26" x14ac:dyDescent="0.25">
      <c r="A5" t="s">
        <v>275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K22"/>
  <sheetViews>
    <sheetView workbookViewId="0"/>
  </sheetViews>
  <sheetFormatPr defaultRowHeight="15" x14ac:dyDescent="0.25"/>
  <sheetData>
    <row r="1" spans="1:11" x14ac:dyDescent="0.25">
      <c r="A1" t="s">
        <v>72</v>
      </c>
    </row>
    <row r="2" spans="1:11" x14ac:dyDescent="0.25">
      <c r="A2" t="s">
        <v>73</v>
      </c>
      <c r="E2" t="s">
        <v>96</v>
      </c>
    </row>
    <row r="3" spans="1:11" x14ac:dyDescent="0.25">
      <c r="A3" t="s">
        <v>74</v>
      </c>
    </row>
    <row r="4" spans="1:11" x14ac:dyDescent="0.25">
      <c r="A4" t="s">
        <v>75</v>
      </c>
      <c r="E4" t="s">
        <v>212</v>
      </c>
    </row>
    <row r="5" spans="1:11" x14ac:dyDescent="0.25">
      <c r="A5" t="s">
        <v>76</v>
      </c>
    </row>
    <row r="6" spans="1:11" x14ac:dyDescent="0.25">
      <c r="A6" t="s">
        <v>77</v>
      </c>
    </row>
    <row r="7" spans="1:11" x14ac:dyDescent="0.25">
      <c r="A7" t="s">
        <v>78</v>
      </c>
      <c r="E7" s="37" t="s">
        <v>277</v>
      </c>
      <c r="F7" s="37"/>
      <c r="G7" s="37"/>
      <c r="H7" s="37"/>
      <c r="I7" s="37"/>
      <c r="J7" s="37"/>
      <c r="K7" s="37"/>
    </row>
    <row r="8" spans="1:11" x14ac:dyDescent="0.25">
      <c r="A8" t="s">
        <v>79</v>
      </c>
    </row>
    <row r="9" spans="1:11" x14ac:dyDescent="0.25">
      <c r="A9" t="s">
        <v>80</v>
      </c>
      <c r="E9" t="s">
        <v>278</v>
      </c>
    </row>
    <row r="10" spans="1:11" x14ac:dyDescent="0.25">
      <c r="A10" t="s">
        <v>81</v>
      </c>
      <c r="E10" t="s">
        <v>279</v>
      </c>
    </row>
    <row r="11" spans="1:11" x14ac:dyDescent="0.25">
      <c r="A11" t="s">
        <v>82</v>
      </c>
      <c r="E11" t="s">
        <v>280</v>
      </c>
    </row>
    <row r="12" spans="1:11" x14ac:dyDescent="0.25">
      <c r="A12" t="s">
        <v>83</v>
      </c>
      <c r="E12" t="s">
        <v>281</v>
      </c>
    </row>
    <row r="13" spans="1:11" x14ac:dyDescent="0.25">
      <c r="A13" t="s">
        <v>84</v>
      </c>
    </row>
    <row r="14" spans="1:11" x14ac:dyDescent="0.25">
      <c r="A14" t="s">
        <v>85</v>
      </c>
      <c r="E14" s="6" t="s">
        <v>282</v>
      </c>
    </row>
    <row r="15" spans="1:11" x14ac:dyDescent="0.25">
      <c r="A15" t="s">
        <v>86</v>
      </c>
    </row>
    <row r="16" spans="1:11" x14ac:dyDescent="0.25">
      <c r="A16" t="s">
        <v>87</v>
      </c>
    </row>
    <row r="17" spans="1:1" x14ac:dyDescent="0.25">
      <c r="A17" t="s">
        <v>88</v>
      </c>
    </row>
    <row r="18" spans="1:1" x14ac:dyDescent="0.25">
      <c r="A18" t="s">
        <v>101</v>
      </c>
    </row>
    <row r="19" spans="1:1" x14ac:dyDescent="0.25">
      <c r="A19" t="s">
        <v>36</v>
      </c>
    </row>
    <row r="20" spans="1:1" x14ac:dyDescent="0.25">
      <c r="A20" t="s">
        <v>209</v>
      </c>
    </row>
    <row r="21" spans="1:1" x14ac:dyDescent="0.25">
      <c r="A21" t="s">
        <v>210</v>
      </c>
    </row>
    <row r="22" spans="1:1" x14ac:dyDescent="0.25">
      <c r="A22" t="s">
        <v>211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N20"/>
  <sheetViews>
    <sheetView workbookViewId="0">
      <selection activeCell="D2" sqref="D2"/>
    </sheetView>
  </sheetViews>
  <sheetFormatPr defaultRowHeight="15" x14ac:dyDescent="0.25"/>
  <sheetData>
    <row r="1" spans="1:14" x14ac:dyDescent="0.25">
      <c r="A1" t="s">
        <v>72</v>
      </c>
      <c r="B1" t="s">
        <v>53</v>
      </c>
    </row>
    <row r="2" spans="1:14" x14ac:dyDescent="0.25">
      <c r="A2" t="s">
        <v>73</v>
      </c>
      <c r="B2" t="s">
        <v>54</v>
      </c>
      <c r="D2" t="s">
        <v>283</v>
      </c>
    </row>
    <row r="3" spans="1:14" x14ac:dyDescent="0.25">
      <c r="A3" t="s">
        <v>74</v>
      </c>
      <c r="B3" t="s">
        <v>55</v>
      </c>
      <c r="D3" t="s">
        <v>213</v>
      </c>
      <c r="G3" t="s">
        <v>217</v>
      </c>
    </row>
    <row r="4" spans="1:14" x14ac:dyDescent="0.25">
      <c r="A4" t="s">
        <v>75</v>
      </c>
      <c r="B4" t="s">
        <v>56</v>
      </c>
      <c r="D4" t="s">
        <v>214</v>
      </c>
      <c r="G4" t="s">
        <v>218</v>
      </c>
    </row>
    <row r="5" spans="1:14" x14ac:dyDescent="0.25">
      <c r="A5" t="s">
        <v>76</v>
      </c>
      <c r="B5" t="s">
        <v>57</v>
      </c>
    </row>
    <row r="6" spans="1:14" x14ac:dyDescent="0.25">
      <c r="A6" t="s">
        <v>77</v>
      </c>
      <c r="B6" t="s">
        <v>58</v>
      </c>
      <c r="D6" t="s">
        <v>215</v>
      </c>
      <c r="G6" t="s">
        <v>217</v>
      </c>
    </row>
    <row r="7" spans="1:14" x14ac:dyDescent="0.25">
      <c r="A7" t="s">
        <v>78</v>
      </c>
      <c r="B7" t="s">
        <v>59</v>
      </c>
      <c r="D7" t="s">
        <v>216</v>
      </c>
      <c r="G7" t="s">
        <v>218</v>
      </c>
    </row>
    <row r="8" spans="1:14" x14ac:dyDescent="0.25">
      <c r="A8" t="s">
        <v>79</v>
      </c>
      <c r="B8" t="s">
        <v>60</v>
      </c>
    </row>
    <row r="9" spans="1:14" x14ac:dyDescent="0.25">
      <c r="A9" t="s">
        <v>80</v>
      </c>
      <c r="B9" t="s">
        <v>61</v>
      </c>
    </row>
    <row r="10" spans="1:14" ht="19.5" x14ac:dyDescent="0.3">
      <c r="A10" t="s">
        <v>81</v>
      </c>
      <c r="B10" t="s">
        <v>62</v>
      </c>
      <c r="G10" s="38" t="s">
        <v>284</v>
      </c>
      <c r="H10" s="38"/>
      <c r="I10" s="38"/>
      <c r="J10" s="38"/>
      <c r="K10" s="38"/>
      <c r="L10" s="39"/>
      <c r="M10" s="39"/>
      <c r="N10" s="39"/>
    </row>
    <row r="11" spans="1:14" x14ac:dyDescent="0.25">
      <c r="A11" t="s">
        <v>82</v>
      </c>
      <c r="B11" t="s">
        <v>89</v>
      </c>
    </row>
    <row r="12" spans="1:14" x14ac:dyDescent="0.25">
      <c r="A12" t="s">
        <v>83</v>
      </c>
      <c r="B12" t="s">
        <v>90</v>
      </c>
    </row>
    <row r="13" spans="1:14" x14ac:dyDescent="0.25">
      <c r="A13" t="s">
        <v>84</v>
      </c>
      <c r="B13" t="s">
        <v>91</v>
      </c>
    </row>
    <row r="14" spans="1:14" x14ac:dyDescent="0.25">
      <c r="A14" t="s">
        <v>85</v>
      </c>
      <c r="B14" t="s">
        <v>92</v>
      </c>
    </row>
    <row r="15" spans="1:14" x14ac:dyDescent="0.25">
      <c r="A15" t="s">
        <v>86</v>
      </c>
      <c r="B15" t="s">
        <v>93</v>
      </c>
    </row>
    <row r="16" spans="1:14" x14ac:dyDescent="0.25">
      <c r="A16" t="s">
        <v>87</v>
      </c>
      <c r="B16" t="s">
        <v>94</v>
      </c>
    </row>
    <row r="17" spans="1:2" x14ac:dyDescent="0.25">
      <c r="A17" t="s">
        <v>88</v>
      </c>
      <c r="B17" t="s">
        <v>95</v>
      </c>
    </row>
    <row r="18" spans="1:2" x14ac:dyDescent="0.25">
      <c r="A18" t="s">
        <v>100</v>
      </c>
      <c r="B18" t="s">
        <v>97</v>
      </c>
    </row>
    <row r="19" spans="1:2" x14ac:dyDescent="0.25">
      <c r="B19" t="s">
        <v>98</v>
      </c>
    </row>
    <row r="20" spans="1:2" x14ac:dyDescent="0.25">
      <c r="B20" t="s">
        <v>99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C11"/>
  <sheetViews>
    <sheetView workbookViewId="0">
      <selection activeCell="C2" sqref="C2"/>
    </sheetView>
  </sheetViews>
  <sheetFormatPr defaultRowHeight="15" x14ac:dyDescent="0.25"/>
  <cols>
    <col min="1" max="3" width="5.85546875" customWidth="1"/>
  </cols>
  <sheetData>
    <row r="1" spans="1:3" x14ac:dyDescent="0.25">
      <c r="A1" s="13" t="s">
        <v>102</v>
      </c>
      <c r="B1" s="13" t="s">
        <v>103</v>
      </c>
      <c r="C1" s="13" t="s">
        <v>104</v>
      </c>
    </row>
    <row r="2" spans="1:3" x14ac:dyDescent="0.25">
      <c r="A2">
        <v>25</v>
      </c>
      <c r="B2">
        <v>9</v>
      </c>
      <c r="C2">
        <f t="shared" ref="C2:C11" si="0">SUM(A2:B2)</f>
        <v>34</v>
      </c>
    </row>
    <row r="3" spans="1:3" x14ac:dyDescent="0.25">
      <c r="A3">
        <v>36</v>
      </c>
      <c r="B3">
        <v>3</v>
      </c>
      <c r="C3">
        <f t="shared" si="0"/>
        <v>39</v>
      </c>
    </row>
    <row r="4" spans="1:3" x14ac:dyDescent="0.25">
      <c r="B4">
        <v>6</v>
      </c>
      <c r="C4">
        <f t="shared" si="0"/>
        <v>6</v>
      </c>
    </row>
    <row r="5" spans="1:3" x14ac:dyDescent="0.25">
      <c r="A5">
        <v>98</v>
      </c>
      <c r="B5">
        <v>36</v>
      </c>
      <c r="C5">
        <f t="shared" si="0"/>
        <v>134</v>
      </c>
    </row>
    <row r="6" spans="1:3" x14ac:dyDescent="0.25">
      <c r="A6">
        <v>7</v>
      </c>
      <c r="C6">
        <f t="shared" si="0"/>
        <v>7</v>
      </c>
    </row>
    <row r="7" spans="1:3" x14ac:dyDescent="0.25">
      <c r="A7">
        <v>5</v>
      </c>
      <c r="B7">
        <v>96</v>
      </c>
      <c r="C7">
        <f t="shared" si="0"/>
        <v>101</v>
      </c>
    </row>
    <row r="8" spans="1:3" x14ac:dyDescent="0.25">
      <c r="B8">
        <v>45</v>
      </c>
      <c r="C8">
        <f t="shared" si="0"/>
        <v>45</v>
      </c>
    </row>
    <row r="9" spans="1:3" x14ac:dyDescent="0.25">
      <c r="A9">
        <v>25</v>
      </c>
      <c r="B9">
        <v>15</v>
      </c>
      <c r="C9">
        <f t="shared" si="0"/>
        <v>40</v>
      </c>
    </row>
    <row r="10" spans="1:3" x14ac:dyDescent="0.25">
      <c r="A10">
        <v>12</v>
      </c>
      <c r="C10">
        <f t="shared" si="0"/>
        <v>12</v>
      </c>
    </row>
    <row r="11" spans="1:3" x14ac:dyDescent="0.25">
      <c r="A11">
        <v>36</v>
      </c>
      <c r="B11">
        <v>33</v>
      </c>
      <c r="C11">
        <f t="shared" si="0"/>
        <v>69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T62"/>
  <sheetViews>
    <sheetView workbookViewId="0"/>
  </sheetViews>
  <sheetFormatPr defaultRowHeight="15" x14ac:dyDescent="0.25"/>
  <sheetData>
    <row r="1" spans="1:20" ht="19.5" x14ac:dyDescent="0.3">
      <c r="A1" s="14" t="s">
        <v>105</v>
      </c>
      <c r="B1" s="14" t="s">
        <v>106</v>
      </c>
      <c r="D1" s="14" t="s">
        <v>105</v>
      </c>
      <c r="E1" s="14" t="s">
        <v>106</v>
      </c>
      <c r="H1" s="40" t="s">
        <v>285</v>
      </c>
      <c r="I1" s="40"/>
      <c r="J1" s="40"/>
      <c r="K1" s="40"/>
      <c r="L1" s="40"/>
      <c r="M1" s="40"/>
      <c r="N1" s="40"/>
      <c r="O1" s="40"/>
      <c r="P1" s="40"/>
      <c r="Q1" s="40"/>
      <c r="R1" s="41"/>
      <c r="S1" s="41"/>
      <c r="T1" s="41"/>
    </row>
    <row r="2" spans="1:20" x14ac:dyDescent="0.25">
      <c r="A2" t="s">
        <v>53</v>
      </c>
      <c r="B2">
        <v>10</v>
      </c>
      <c r="D2" t="s">
        <v>53</v>
      </c>
      <c r="E2">
        <f t="shared" ref="E2:E7" si="0">VLOOKUP($D2,$A$1:$B$7,2,0)</f>
        <v>10</v>
      </c>
    </row>
    <row r="3" spans="1:20" x14ac:dyDescent="0.25">
      <c r="A3" t="s">
        <v>54</v>
      </c>
      <c r="B3">
        <v>20</v>
      </c>
      <c r="D3" t="s">
        <v>54</v>
      </c>
      <c r="E3">
        <f t="shared" si="0"/>
        <v>20</v>
      </c>
      <c r="H3" t="s">
        <v>286</v>
      </c>
    </row>
    <row r="4" spans="1:20" x14ac:dyDescent="0.25">
      <c r="A4" t="s">
        <v>55</v>
      </c>
      <c r="B4">
        <v>36</v>
      </c>
      <c r="D4" t="s">
        <v>55</v>
      </c>
      <c r="E4">
        <f t="shared" si="0"/>
        <v>36</v>
      </c>
      <c r="H4" t="s">
        <v>287</v>
      </c>
    </row>
    <row r="5" spans="1:20" x14ac:dyDescent="0.25">
      <c r="A5" t="s">
        <v>56</v>
      </c>
      <c r="B5">
        <v>96</v>
      </c>
      <c r="D5" t="s">
        <v>56</v>
      </c>
      <c r="E5">
        <f t="shared" si="0"/>
        <v>96</v>
      </c>
    </row>
    <row r="6" spans="1:20" x14ac:dyDescent="0.25">
      <c r="A6" t="s">
        <v>57</v>
      </c>
      <c r="B6">
        <v>25</v>
      </c>
      <c r="D6" t="s">
        <v>57</v>
      </c>
      <c r="E6">
        <f t="shared" si="0"/>
        <v>25</v>
      </c>
      <c r="H6" t="s">
        <v>288</v>
      </c>
    </row>
    <row r="7" spans="1:20" x14ac:dyDescent="0.25">
      <c r="A7" t="s">
        <v>58</v>
      </c>
      <c r="B7">
        <v>75</v>
      </c>
      <c r="D7" t="s">
        <v>58</v>
      </c>
      <c r="E7">
        <f t="shared" si="0"/>
        <v>75</v>
      </c>
    </row>
    <row r="11" spans="1:20" x14ac:dyDescent="0.25">
      <c r="A11" s="16" t="s">
        <v>108</v>
      </c>
      <c r="B11" s="4"/>
      <c r="C11" s="4"/>
      <c r="E11" s="6" t="s">
        <v>129</v>
      </c>
    </row>
    <row r="12" spans="1:20" x14ac:dyDescent="0.25">
      <c r="A12" s="21" t="s">
        <v>110</v>
      </c>
    </row>
    <row r="13" spans="1:20" x14ac:dyDescent="0.25">
      <c r="A13" s="4" t="s">
        <v>105</v>
      </c>
      <c r="B13" s="14" t="s">
        <v>106</v>
      </c>
      <c r="C13" s="14" t="s">
        <v>107</v>
      </c>
      <c r="E13" s="4" t="s">
        <v>105</v>
      </c>
      <c r="F13" s="14" t="s">
        <v>107</v>
      </c>
      <c r="G13" s="14" t="s">
        <v>106</v>
      </c>
      <c r="I13" s="4" t="s">
        <v>112</v>
      </c>
      <c r="J13" s="4"/>
      <c r="K13" s="4"/>
      <c r="L13" s="4"/>
      <c r="M13" s="4"/>
      <c r="N13" s="4"/>
      <c r="O13" s="4"/>
      <c r="P13" s="4"/>
      <c r="Q13" s="4"/>
      <c r="R13" s="4"/>
      <c r="S13" s="4"/>
    </row>
    <row r="14" spans="1:20" x14ac:dyDescent="0.25">
      <c r="A14" t="s">
        <v>53</v>
      </c>
      <c r="B14">
        <v>10</v>
      </c>
      <c r="C14">
        <v>69</v>
      </c>
      <c r="E14" t="s">
        <v>53</v>
      </c>
      <c r="F14">
        <f t="shared" ref="F14:G19" si="1">VLOOKUP($E14,$A$13:$C$19,MATCH(F$13,$A$13:$C$13,0),0)</f>
        <v>69</v>
      </c>
      <c r="G14">
        <f t="shared" si="1"/>
        <v>10</v>
      </c>
      <c r="I14" s="4" t="s">
        <v>113</v>
      </c>
      <c r="J14" s="4"/>
      <c r="K14" s="4"/>
      <c r="L14" s="4"/>
      <c r="M14" s="4"/>
      <c r="N14" s="4"/>
      <c r="O14" s="4"/>
      <c r="P14" s="4"/>
      <c r="Q14" s="4"/>
      <c r="R14" s="4"/>
      <c r="S14" s="4"/>
    </row>
    <row r="15" spans="1:20" x14ac:dyDescent="0.25">
      <c r="A15" t="s">
        <v>54</v>
      </c>
      <c r="B15">
        <v>20</v>
      </c>
      <c r="C15">
        <v>36</v>
      </c>
      <c r="E15" t="s">
        <v>54</v>
      </c>
      <c r="F15">
        <f t="shared" si="1"/>
        <v>36</v>
      </c>
      <c r="G15">
        <f t="shared" si="1"/>
        <v>20</v>
      </c>
      <c r="I15" s="4" t="s">
        <v>114</v>
      </c>
      <c r="J15" s="4"/>
      <c r="K15" s="4"/>
      <c r="L15" s="4"/>
      <c r="M15" s="4"/>
      <c r="N15" s="4"/>
      <c r="O15" s="4"/>
      <c r="P15" s="4"/>
      <c r="Q15" s="4"/>
      <c r="R15" s="4"/>
      <c r="S15" s="4"/>
    </row>
    <row r="16" spans="1:20" x14ac:dyDescent="0.25">
      <c r="A16" t="s">
        <v>55</v>
      </c>
      <c r="B16">
        <v>36</v>
      </c>
      <c r="C16">
        <v>25</v>
      </c>
      <c r="E16" t="s">
        <v>55</v>
      </c>
      <c r="F16">
        <f t="shared" si="1"/>
        <v>25</v>
      </c>
      <c r="G16">
        <f t="shared" si="1"/>
        <v>36</v>
      </c>
      <c r="I16" s="16" t="s">
        <v>115</v>
      </c>
      <c r="J16" s="16"/>
      <c r="K16" s="16"/>
      <c r="L16" s="16"/>
      <c r="M16" s="16"/>
      <c r="N16" s="4"/>
      <c r="O16" s="4"/>
      <c r="P16" s="4"/>
      <c r="Q16" s="4"/>
      <c r="R16" s="4"/>
      <c r="S16" s="4"/>
    </row>
    <row r="17" spans="1:19" x14ac:dyDescent="0.25">
      <c r="A17" t="s">
        <v>56</v>
      </c>
      <c r="B17">
        <v>96</v>
      </c>
      <c r="C17">
        <v>84</v>
      </c>
      <c r="E17" t="s">
        <v>56</v>
      </c>
      <c r="F17">
        <f t="shared" si="1"/>
        <v>84</v>
      </c>
      <c r="G17">
        <f t="shared" si="1"/>
        <v>96</v>
      </c>
      <c r="I17" s="16" t="s">
        <v>116</v>
      </c>
      <c r="J17" s="16"/>
      <c r="K17" s="16"/>
      <c r="L17" s="16"/>
      <c r="M17" s="16"/>
      <c r="N17" s="4"/>
      <c r="O17" s="4"/>
      <c r="P17" s="4"/>
      <c r="Q17" s="4"/>
      <c r="R17" s="4"/>
      <c r="S17" s="4"/>
    </row>
    <row r="18" spans="1:19" x14ac:dyDescent="0.25">
      <c r="A18" t="s">
        <v>57</v>
      </c>
      <c r="B18">
        <v>25</v>
      </c>
      <c r="C18">
        <v>12</v>
      </c>
      <c r="E18" t="s">
        <v>57</v>
      </c>
      <c r="F18">
        <f t="shared" si="1"/>
        <v>12</v>
      </c>
      <c r="G18">
        <f t="shared" si="1"/>
        <v>25</v>
      </c>
      <c r="I18" s="16" t="s">
        <v>117</v>
      </c>
      <c r="J18" s="16"/>
      <c r="K18" s="16"/>
      <c r="L18" s="16"/>
      <c r="M18" s="16"/>
      <c r="N18" s="4"/>
      <c r="O18" s="4"/>
      <c r="P18" s="4"/>
      <c r="Q18" s="4"/>
      <c r="R18" s="4"/>
      <c r="S18" s="4"/>
    </row>
    <row r="19" spans="1:19" x14ac:dyDescent="0.25">
      <c r="A19" t="s">
        <v>58</v>
      </c>
      <c r="B19">
        <v>75</v>
      </c>
      <c r="C19">
        <v>85</v>
      </c>
      <c r="E19" t="s">
        <v>58</v>
      </c>
      <c r="F19">
        <f t="shared" si="1"/>
        <v>85</v>
      </c>
      <c r="G19">
        <f t="shared" si="1"/>
        <v>75</v>
      </c>
    </row>
    <row r="20" spans="1:19" ht="19.5" x14ac:dyDescent="0.3">
      <c r="I20" s="17" t="s">
        <v>118</v>
      </c>
    </row>
    <row r="21" spans="1:19" x14ac:dyDescent="0.25">
      <c r="I21" s="18" t="s">
        <v>119</v>
      </c>
      <c r="J21" s="18"/>
      <c r="K21" s="18"/>
      <c r="L21" s="18"/>
      <c r="M21" s="18"/>
      <c r="N21" s="18"/>
      <c r="O21" s="18"/>
      <c r="P21" s="18"/>
    </row>
    <row r="22" spans="1:19" x14ac:dyDescent="0.25">
      <c r="A22" s="16" t="s">
        <v>109</v>
      </c>
      <c r="B22" s="16"/>
      <c r="C22" s="16"/>
      <c r="I22" s="18" t="s">
        <v>120</v>
      </c>
      <c r="J22" s="18"/>
      <c r="K22" s="18"/>
      <c r="L22" s="18"/>
      <c r="M22" s="18"/>
      <c r="N22" s="18"/>
      <c r="O22" s="18"/>
      <c r="P22" s="18"/>
    </row>
    <row r="23" spans="1:19" x14ac:dyDescent="0.25">
      <c r="I23" s="18" t="s">
        <v>121</v>
      </c>
      <c r="J23" s="18"/>
      <c r="K23" s="18"/>
      <c r="L23" s="18"/>
      <c r="M23" s="18"/>
      <c r="N23" s="18"/>
      <c r="O23" s="18"/>
      <c r="P23" s="18"/>
    </row>
    <row r="24" spans="1:19" x14ac:dyDescent="0.25">
      <c r="A24" s="21" t="s">
        <v>111</v>
      </c>
      <c r="I24" s="18" t="s">
        <v>122</v>
      </c>
      <c r="J24" s="18"/>
      <c r="K24" s="18"/>
      <c r="L24" s="18"/>
      <c r="M24" s="18"/>
      <c r="N24" s="18"/>
      <c r="O24" s="18"/>
      <c r="P24" s="18"/>
    </row>
    <row r="25" spans="1:19" x14ac:dyDescent="0.25">
      <c r="A25" s="4" t="s">
        <v>105</v>
      </c>
      <c r="B25" s="14" t="s">
        <v>106</v>
      </c>
      <c r="C25" s="14" t="s">
        <v>107</v>
      </c>
      <c r="E25" s="4" t="s">
        <v>105</v>
      </c>
      <c r="F25" s="14" t="s">
        <v>107</v>
      </c>
      <c r="G25" s="14" t="s">
        <v>106</v>
      </c>
      <c r="I25" s="19" t="s">
        <v>123</v>
      </c>
      <c r="J25" s="19" t="s">
        <v>124</v>
      </c>
      <c r="K25" s="18"/>
      <c r="L25" s="18"/>
      <c r="M25" s="18"/>
      <c r="N25" s="18"/>
      <c r="O25" s="18"/>
      <c r="P25" s="18"/>
    </row>
    <row r="26" spans="1:19" x14ac:dyDescent="0.25">
      <c r="A26" t="s">
        <v>53</v>
      </c>
      <c r="B26">
        <v>10</v>
      </c>
      <c r="C26">
        <v>69</v>
      </c>
      <c r="E26" t="s">
        <v>53</v>
      </c>
      <c r="F26">
        <f t="shared" ref="F26:G31" si="2">INDEX($A$25:$C$31,MATCH($E26,$A$25:$A$31,0),MATCH(F$25,$A$25:$C$25,0))</f>
        <v>69</v>
      </c>
      <c r="G26">
        <f t="shared" si="2"/>
        <v>10</v>
      </c>
      <c r="I26" s="20"/>
      <c r="J26" s="19" t="s">
        <v>125</v>
      </c>
      <c r="K26" s="18"/>
      <c r="L26" s="18"/>
      <c r="M26" s="18"/>
      <c r="N26" s="18"/>
      <c r="O26" s="18"/>
      <c r="P26" s="18"/>
    </row>
    <row r="27" spans="1:19" x14ac:dyDescent="0.25">
      <c r="A27" t="s">
        <v>54</v>
      </c>
      <c r="B27">
        <v>20</v>
      </c>
      <c r="C27">
        <v>36</v>
      </c>
      <c r="E27" t="s">
        <v>54</v>
      </c>
      <c r="F27">
        <f t="shared" si="2"/>
        <v>36</v>
      </c>
      <c r="G27">
        <f t="shared" si="2"/>
        <v>20</v>
      </c>
    </row>
    <row r="28" spans="1:19" x14ac:dyDescent="0.25">
      <c r="A28" t="s">
        <v>55</v>
      </c>
      <c r="B28">
        <v>36</v>
      </c>
      <c r="C28">
        <v>25</v>
      </c>
      <c r="E28" t="s">
        <v>55</v>
      </c>
      <c r="F28">
        <f t="shared" si="2"/>
        <v>25</v>
      </c>
      <c r="G28">
        <f t="shared" si="2"/>
        <v>36</v>
      </c>
    </row>
    <row r="29" spans="1:19" x14ac:dyDescent="0.25">
      <c r="A29" t="s">
        <v>56</v>
      </c>
      <c r="B29">
        <v>96</v>
      </c>
      <c r="C29">
        <v>84</v>
      </c>
      <c r="E29" t="s">
        <v>56</v>
      </c>
      <c r="F29">
        <f t="shared" si="2"/>
        <v>84</v>
      </c>
      <c r="G29">
        <f t="shared" si="2"/>
        <v>96</v>
      </c>
      <c r="H29" s="6" t="s">
        <v>128</v>
      </c>
    </row>
    <row r="30" spans="1:19" x14ac:dyDescent="0.25">
      <c r="A30" t="s">
        <v>57</v>
      </c>
      <c r="B30">
        <v>25</v>
      </c>
      <c r="C30">
        <v>12</v>
      </c>
      <c r="E30" t="s">
        <v>57</v>
      </c>
      <c r="F30">
        <f t="shared" si="2"/>
        <v>12</v>
      </c>
      <c r="G30">
        <f t="shared" si="2"/>
        <v>25</v>
      </c>
    </row>
    <row r="31" spans="1:19" x14ac:dyDescent="0.25">
      <c r="A31" t="s">
        <v>58</v>
      </c>
      <c r="B31">
        <v>75</v>
      </c>
      <c r="C31">
        <v>85</v>
      </c>
      <c r="E31" t="s">
        <v>58</v>
      </c>
      <c r="F31">
        <f t="shared" si="2"/>
        <v>85</v>
      </c>
      <c r="G31">
        <f t="shared" si="2"/>
        <v>75</v>
      </c>
    </row>
    <row r="32" spans="1:19" x14ac:dyDescent="0.25">
      <c r="A32" s="6" t="s">
        <v>127</v>
      </c>
    </row>
    <row r="33" spans="1:11" x14ac:dyDescent="0.25">
      <c r="A33" s="21" t="s">
        <v>126</v>
      </c>
    </row>
    <row r="34" spans="1:11" x14ac:dyDescent="0.25">
      <c r="A34" s="4" t="s">
        <v>105</v>
      </c>
      <c r="B34" s="14" t="s">
        <v>106</v>
      </c>
      <c r="C34" s="14" t="s">
        <v>107</v>
      </c>
      <c r="E34" s="4" t="s">
        <v>105</v>
      </c>
      <c r="F34" s="14" t="s">
        <v>106</v>
      </c>
      <c r="G34" s="14" t="s">
        <v>107</v>
      </c>
    </row>
    <row r="35" spans="1:11" x14ac:dyDescent="0.25">
      <c r="A35" t="s">
        <v>53</v>
      </c>
      <c r="B35">
        <v>10</v>
      </c>
      <c r="C35">
        <v>69</v>
      </c>
      <c r="E35" t="s">
        <v>53</v>
      </c>
    </row>
    <row r="36" spans="1:11" x14ac:dyDescent="0.25">
      <c r="A36" t="s">
        <v>54</v>
      </c>
      <c r="B36">
        <v>20</v>
      </c>
      <c r="C36">
        <v>36</v>
      </c>
      <c r="E36" t="s">
        <v>54</v>
      </c>
      <c r="I36" s="16" t="s">
        <v>130</v>
      </c>
      <c r="J36" s="4"/>
      <c r="K36" s="4"/>
    </row>
    <row r="37" spans="1:11" x14ac:dyDescent="0.25">
      <c r="A37" t="s">
        <v>55</v>
      </c>
      <c r="B37">
        <v>36</v>
      </c>
      <c r="C37">
        <v>25</v>
      </c>
      <c r="E37" t="s">
        <v>55</v>
      </c>
    </row>
    <row r="38" spans="1:11" x14ac:dyDescent="0.25">
      <c r="A38" t="s">
        <v>56</v>
      </c>
      <c r="B38">
        <v>96</v>
      </c>
      <c r="C38">
        <v>84</v>
      </c>
      <c r="E38" t="s">
        <v>56</v>
      </c>
    </row>
    <row r="39" spans="1:11" x14ac:dyDescent="0.25">
      <c r="A39" t="s">
        <v>57</v>
      </c>
      <c r="B39">
        <v>25</v>
      </c>
      <c r="C39">
        <v>12</v>
      </c>
      <c r="E39" t="s">
        <v>57</v>
      </c>
    </row>
    <row r="40" spans="1:11" x14ac:dyDescent="0.25">
      <c r="A40" t="s">
        <v>58</v>
      </c>
      <c r="B40">
        <v>75</v>
      </c>
      <c r="C40">
        <v>85</v>
      </c>
      <c r="E40" t="s">
        <v>58</v>
      </c>
    </row>
    <row r="43" spans="1:11" x14ac:dyDescent="0.25">
      <c r="A43" s="16" t="s">
        <v>138</v>
      </c>
      <c r="B43" s="4"/>
    </row>
    <row r="44" spans="1:11" x14ac:dyDescent="0.25">
      <c r="A44" s="15" t="s">
        <v>137</v>
      </c>
    </row>
    <row r="45" spans="1:11" x14ac:dyDescent="0.25">
      <c r="A45" s="4" t="s">
        <v>50</v>
      </c>
      <c r="B45" s="7" t="s">
        <v>51</v>
      </c>
      <c r="C45" s="7" t="s">
        <v>52</v>
      </c>
    </row>
    <row r="46" spans="1:11" x14ac:dyDescent="0.25">
      <c r="A46" t="s">
        <v>53</v>
      </c>
      <c r="B46">
        <v>10</v>
      </c>
      <c r="C46" s="15" t="str">
        <f t="shared" ref="C46:C51" si="3">IF($B46&gt;=50,"PASS","FAIL")</f>
        <v>FAIL</v>
      </c>
    </row>
    <row r="47" spans="1:11" x14ac:dyDescent="0.25">
      <c r="A47" t="s">
        <v>54</v>
      </c>
      <c r="B47">
        <v>20</v>
      </c>
      <c r="C47" s="15" t="str">
        <f t="shared" si="3"/>
        <v>FAIL</v>
      </c>
    </row>
    <row r="48" spans="1:11" x14ac:dyDescent="0.25">
      <c r="A48" t="s">
        <v>55</v>
      </c>
      <c r="B48">
        <v>36</v>
      </c>
      <c r="C48" s="15" t="str">
        <f t="shared" si="3"/>
        <v>FAIL</v>
      </c>
    </row>
    <row r="49" spans="1:7" x14ac:dyDescent="0.25">
      <c r="A49" t="s">
        <v>56</v>
      </c>
      <c r="B49">
        <v>96</v>
      </c>
      <c r="C49" s="15" t="str">
        <f t="shared" si="3"/>
        <v>PASS</v>
      </c>
    </row>
    <row r="50" spans="1:7" x14ac:dyDescent="0.25">
      <c r="A50" t="s">
        <v>57</v>
      </c>
      <c r="B50">
        <v>25</v>
      </c>
      <c r="C50" s="15" t="str">
        <f t="shared" si="3"/>
        <v>FAIL</v>
      </c>
    </row>
    <row r="51" spans="1:7" x14ac:dyDescent="0.25">
      <c r="A51" t="s">
        <v>58</v>
      </c>
      <c r="B51">
        <v>75</v>
      </c>
      <c r="C51" t="str">
        <f t="shared" si="3"/>
        <v>PASS</v>
      </c>
    </row>
    <row r="54" spans="1:7" x14ac:dyDescent="0.25">
      <c r="A54" s="16" t="s">
        <v>139</v>
      </c>
    </row>
    <row r="56" spans="1:7" x14ac:dyDescent="0.25">
      <c r="A56" s="4" t="s">
        <v>50</v>
      </c>
      <c r="B56" s="7" t="s">
        <v>51</v>
      </c>
      <c r="C56" s="7" t="s">
        <v>131</v>
      </c>
      <c r="F56" s="7"/>
      <c r="G56" s="7"/>
    </row>
    <row r="57" spans="1:7" x14ac:dyDescent="0.25">
      <c r="A57" t="s">
        <v>53</v>
      </c>
      <c r="B57">
        <v>10</v>
      </c>
      <c r="C57" t="str">
        <f t="shared" ref="C57:C62" si="4">IF($B57&gt;=90,"A",IF($B57&gt;=70,"B",IF($B57&gt;=60,"C",IF($B57&gt;=50,"D","FAIL"))))</f>
        <v>FAIL</v>
      </c>
      <c r="F57" t="s">
        <v>132</v>
      </c>
      <c r="G57" t="s">
        <v>53</v>
      </c>
    </row>
    <row r="58" spans="1:7" x14ac:dyDescent="0.25">
      <c r="A58" t="s">
        <v>54</v>
      </c>
      <c r="B58">
        <v>51</v>
      </c>
      <c r="C58" t="str">
        <f t="shared" si="4"/>
        <v>D</v>
      </c>
      <c r="F58" t="s">
        <v>133</v>
      </c>
      <c r="G58" t="s">
        <v>54</v>
      </c>
    </row>
    <row r="59" spans="1:7" x14ac:dyDescent="0.25">
      <c r="A59" t="s">
        <v>55</v>
      </c>
      <c r="B59">
        <v>85</v>
      </c>
      <c r="C59" t="str">
        <f t="shared" si="4"/>
        <v>B</v>
      </c>
      <c r="F59" t="s">
        <v>134</v>
      </c>
      <c r="G59" t="s">
        <v>55</v>
      </c>
    </row>
    <row r="60" spans="1:7" x14ac:dyDescent="0.25">
      <c r="A60" t="s">
        <v>56</v>
      </c>
      <c r="B60">
        <v>96</v>
      </c>
      <c r="C60" t="str">
        <f t="shared" si="4"/>
        <v>A</v>
      </c>
      <c r="F60" t="s">
        <v>135</v>
      </c>
      <c r="G60" t="s">
        <v>56</v>
      </c>
    </row>
    <row r="61" spans="1:7" x14ac:dyDescent="0.25">
      <c r="A61" t="s">
        <v>57</v>
      </c>
      <c r="B61">
        <v>25</v>
      </c>
      <c r="C61" t="str">
        <f t="shared" si="4"/>
        <v>FAIL</v>
      </c>
      <c r="F61" t="s">
        <v>136</v>
      </c>
      <c r="G61" t="s">
        <v>63</v>
      </c>
    </row>
    <row r="62" spans="1:7" x14ac:dyDescent="0.25">
      <c r="A62" t="s">
        <v>58</v>
      </c>
      <c r="B62">
        <v>75</v>
      </c>
      <c r="C62" t="str">
        <f t="shared" si="4"/>
        <v>B</v>
      </c>
    </row>
  </sheetData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B54"/>
  <sheetViews>
    <sheetView workbookViewId="0"/>
  </sheetViews>
  <sheetFormatPr defaultRowHeight="15" x14ac:dyDescent="0.25"/>
  <cols>
    <col min="5" max="5" width="14.5703125" customWidth="1"/>
    <col min="6" max="6" width="18.140625" customWidth="1"/>
    <col min="7" max="7" width="20" customWidth="1"/>
  </cols>
  <sheetData>
    <row r="1" spans="1:12" ht="26.25" x14ac:dyDescent="0.4">
      <c r="G1" s="24" t="s">
        <v>146</v>
      </c>
      <c r="H1" s="4"/>
      <c r="I1" s="4"/>
      <c r="J1" s="4"/>
      <c r="K1" s="4"/>
    </row>
    <row r="2" spans="1:12" x14ac:dyDescent="0.25">
      <c r="G2" s="28" t="s">
        <v>164</v>
      </c>
      <c r="H2" s="29"/>
      <c r="I2" s="29"/>
      <c r="J2" s="29"/>
      <c r="K2" s="29"/>
    </row>
    <row r="4" spans="1:12" x14ac:dyDescent="0.25">
      <c r="B4" t="s">
        <v>145</v>
      </c>
      <c r="C4" t="s">
        <v>145</v>
      </c>
      <c r="D4" t="s">
        <v>145</v>
      </c>
    </row>
    <row r="5" spans="1:12" x14ac:dyDescent="0.25">
      <c r="B5" s="23">
        <v>0.4</v>
      </c>
      <c r="C5" s="23">
        <v>0.1</v>
      </c>
      <c r="D5" s="23">
        <v>0.05</v>
      </c>
    </row>
    <row r="6" spans="1:12" x14ac:dyDescent="0.25">
      <c r="A6" s="22" t="s">
        <v>140</v>
      </c>
      <c r="B6" s="22" t="s">
        <v>141</v>
      </c>
      <c r="C6" s="22" t="s">
        <v>142</v>
      </c>
      <c r="D6" s="22" t="s">
        <v>143</v>
      </c>
      <c r="E6" s="22" t="s">
        <v>144</v>
      </c>
      <c r="G6" s="30" t="s">
        <v>165</v>
      </c>
      <c r="H6" s="6" t="s">
        <v>147</v>
      </c>
      <c r="L6" s="6" t="s">
        <v>172</v>
      </c>
    </row>
    <row r="7" spans="1:12" x14ac:dyDescent="0.25">
      <c r="A7">
        <v>1250000</v>
      </c>
      <c r="B7">
        <f>A7*40%</f>
        <v>500000</v>
      </c>
      <c r="C7">
        <f>A7*10%</f>
        <v>125000</v>
      </c>
      <c r="D7">
        <f>A7*5%</f>
        <v>62500</v>
      </c>
      <c r="E7">
        <f>A7-B7-C7-D7</f>
        <v>562500</v>
      </c>
      <c r="F7" s="4">
        <f>UDFSAVING(A7)</f>
        <v>562500</v>
      </c>
      <c r="H7" s="6"/>
    </row>
    <row r="8" spans="1:12" x14ac:dyDescent="0.25">
      <c r="A8">
        <v>390000</v>
      </c>
      <c r="B8">
        <f t="shared" ref="B8:B10" si="0">A8*40%</f>
        <v>156000</v>
      </c>
      <c r="C8">
        <f t="shared" ref="C8:C10" si="1">A8*10%</f>
        <v>39000</v>
      </c>
      <c r="D8">
        <f t="shared" ref="D8:D10" si="2">A8*5%</f>
        <v>19500</v>
      </c>
      <c r="E8">
        <f t="shared" ref="E8:E10" si="3">A8-B8-C8-D8</f>
        <v>175500</v>
      </c>
      <c r="H8" s="6" t="s">
        <v>168</v>
      </c>
    </row>
    <row r="9" spans="1:12" x14ac:dyDescent="0.25">
      <c r="A9">
        <v>1470000</v>
      </c>
      <c r="B9">
        <f t="shared" si="0"/>
        <v>588000</v>
      </c>
      <c r="C9">
        <f t="shared" si="1"/>
        <v>147000</v>
      </c>
      <c r="D9">
        <f t="shared" si="2"/>
        <v>73500</v>
      </c>
      <c r="E9">
        <f t="shared" si="3"/>
        <v>661500</v>
      </c>
      <c r="H9" s="6" t="s">
        <v>169</v>
      </c>
    </row>
    <row r="10" spans="1:12" x14ac:dyDescent="0.25">
      <c r="A10">
        <v>500000</v>
      </c>
      <c r="B10">
        <f t="shared" si="0"/>
        <v>200000</v>
      </c>
      <c r="C10">
        <f t="shared" si="1"/>
        <v>50000</v>
      </c>
      <c r="D10">
        <f t="shared" si="2"/>
        <v>25000</v>
      </c>
      <c r="E10">
        <f t="shared" si="3"/>
        <v>225000</v>
      </c>
      <c r="H10" s="6"/>
    </row>
    <row r="11" spans="1:12" x14ac:dyDescent="0.25">
      <c r="H11" s="6" t="s">
        <v>159</v>
      </c>
    </row>
    <row r="12" spans="1:12" x14ac:dyDescent="0.25">
      <c r="H12" s="6"/>
    </row>
    <row r="13" spans="1:12" x14ac:dyDescent="0.25">
      <c r="H13" s="6" t="s">
        <v>170</v>
      </c>
      <c r="K13" s="6" t="s">
        <v>171</v>
      </c>
    </row>
    <row r="14" spans="1:12" x14ac:dyDescent="0.25">
      <c r="G14" s="31" t="s">
        <v>166</v>
      </c>
      <c r="H14" s="6" t="s">
        <v>167</v>
      </c>
    </row>
    <row r="15" spans="1:12" x14ac:dyDescent="0.25">
      <c r="H15" s="6"/>
    </row>
    <row r="16" spans="1:12" x14ac:dyDescent="0.25">
      <c r="H16" s="6"/>
    </row>
    <row r="17" spans="1:14" x14ac:dyDescent="0.25">
      <c r="A17" s="6" t="s">
        <v>159</v>
      </c>
      <c r="H17" s="6"/>
    </row>
    <row r="18" spans="1:14" x14ac:dyDescent="0.25">
      <c r="A18" s="6" t="s">
        <v>160</v>
      </c>
      <c r="H18" s="6"/>
    </row>
    <row r="19" spans="1:14" x14ac:dyDescent="0.25">
      <c r="A19" s="6" t="s">
        <v>161</v>
      </c>
      <c r="H19" s="6"/>
      <c r="N19" s="6" t="s">
        <v>178</v>
      </c>
    </row>
    <row r="20" spans="1:14" x14ac:dyDescent="0.25">
      <c r="A20" s="6" t="s">
        <v>162</v>
      </c>
      <c r="H20" s="6"/>
    </row>
    <row r="21" spans="1:14" x14ac:dyDescent="0.25">
      <c r="A21" s="6" t="s">
        <v>163</v>
      </c>
      <c r="N21" t="s">
        <v>168</v>
      </c>
    </row>
    <row r="22" spans="1:14" x14ac:dyDescent="0.25">
      <c r="N22" t="s">
        <v>169</v>
      </c>
    </row>
    <row r="23" spans="1:14" x14ac:dyDescent="0.25">
      <c r="A23" s="6" t="s">
        <v>157</v>
      </c>
      <c r="N23" t="s">
        <v>179</v>
      </c>
    </row>
    <row r="24" spans="1:14" x14ac:dyDescent="0.25">
      <c r="E24" s="15" t="s">
        <v>154</v>
      </c>
      <c r="F24">
        <f>C24*10%</f>
        <v>0</v>
      </c>
      <c r="N24" t="s">
        <v>180</v>
      </c>
    </row>
    <row r="25" spans="1:14" x14ac:dyDescent="0.25">
      <c r="A25" s="13" t="s">
        <v>148</v>
      </c>
      <c r="B25" s="13" t="s">
        <v>149</v>
      </c>
      <c r="C25" s="27" t="s">
        <v>33</v>
      </c>
      <c r="D25" s="13" t="s">
        <v>150</v>
      </c>
      <c r="E25" s="27" t="s">
        <v>151</v>
      </c>
      <c r="F25" s="27" t="s">
        <v>152</v>
      </c>
      <c r="G25" s="27" t="s">
        <v>143</v>
      </c>
      <c r="H25" s="27" t="s">
        <v>153</v>
      </c>
      <c r="N25" t="s">
        <v>181</v>
      </c>
    </row>
    <row r="26" spans="1:14" x14ac:dyDescent="0.25">
      <c r="A26">
        <v>120</v>
      </c>
      <c r="B26">
        <v>100000</v>
      </c>
      <c r="C26">
        <f>A26*B26</f>
        <v>12000000</v>
      </c>
      <c r="D26">
        <v>5</v>
      </c>
      <c r="E26">
        <f>(C26/D26)*20%</f>
        <v>480000</v>
      </c>
      <c r="F26">
        <f>C26*10%</f>
        <v>1200000</v>
      </c>
      <c r="G26">
        <f>(E26+F26)*10%</f>
        <v>168000</v>
      </c>
      <c r="H26">
        <f>C26-E26-F26-G26</f>
        <v>10152000</v>
      </c>
      <c r="I26" s="4">
        <f>UDFSALV(A26,B26,D26)</f>
        <v>10152000</v>
      </c>
      <c r="J26" s="25" t="s">
        <v>158</v>
      </c>
      <c r="K26" s="26"/>
      <c r="L26" s="26"/>
    </row>
    <row r="27" spans="1:14" x14ac:dyDescent="0.25">
      <c r="A27">
        <v>89000</v>
      </c>
      <c r="B27">
        <v>500</v>
      </c>
      <c r="C27">
        <f t="shared" ref="C27:C30" si="4">A27*B27</f>
        <v>44500000</v>
      </c>
      <c r="D27">
        <v>1</v>
      </c>
      <c r="E27">
        <f t="shared" ref="E27:E30" si="5">(C27/D27)*20%</f>
        <v>8900000</v>
      </c>
      <c r="F27">
        <f t="shared" ref="F27:F30" si="6">C27*10%</f>
        <v>4450000</v>
      </c>
      <c r="G27">
        <f>(E27+F27)*10%</f>
        <v>1335000</v>
      </c>
      <c r="H27">
        <f t="shared" ref="H27:H30" si="7">C27-E27-F27-G27</f>
        <v>29815000</v>
      </c>
      <c r="N27" t="s">
        <v>159</v>
      </c>
    </row>
    <row r="28" spans="1:14" x14ac:dyDescent="0.25">
      <c r="A28">
        <v>1200</v>
      </c>
      <c r="B28">
        <v>14000</v>
      </c>
      <c r="C28">
        <f t="shared" si="4"/>
        <v>16800000</v>
      </c>
      <c r="D28">
        <v>2</v>
      </c>
      <c r="E28">
        <f t="shared" si="5"/>
        <v>1680000</v>
      </c>
      <c r="F28">
        <f t="shared" si="6"/>
        <v>1680000</v>
      </c>
      <c r="G28">
        <f t="shared" ref="G28:G30" si="8">(E28+F28)*10%</f>
        <v>336000</v>
      </c>
      <c r="H28">
        <f t="shared" si="7"/>
        <v>13104000</v>
      </c>
      <c r="N28" t="s">
        <v>160</v>
      </c>
    </row>
    <row r="29" spans="1:14" x14ac:dyDescent="0.25">
      <c r="A29">
        <v>5000</v>
      </c>
      <c r="B29">
        <v>9000</v>
      </c>
      <c r="C29">
        <f t="shared" si="4"/>
        <v>45000000</v>
      </c>
      <c r="D29">
        <v>3</v>
      </c>
      <c r="E29">
        <f t="shared" si="5"/>
        <v>3000000</v>
      </c>
      <c r="F29">
        <f t="shared" si="6"/>
        <v>4500000</v>
      </c>
      <c r="G29">
        <f t="shared" si="8"/>
        <v>750000</v>
      </c>
      <c r="H29">
        <f t="shared" si="7"/>
        <v>36750000</v>
      </c>
      <c r="N29" t="s">
        <v>161</v>
      </c>
    </row>
    <row r="30" spans="1:14" x14ac:dyDescent="0.25">
      <c r="A30">
        <v>45000</v>
      </c>
      <c r="B30">
        <v>1200</v>
      </c>
      <c r="C30">
        <f t="shared" si="4"/>
        <v>54000000</v>
      </c>
      <c r="D30">
        <v>4</v>
      </c>
      <c r="E30">
        <f t="shared" si="5"/>
        <v>2700000</v>
      </c>
      <c r="F30">
        <f t="shared" si="6"/>
        <v>5400000</v>
      </c>
      <c r="G30">
        <f t="shared" si="8"/>
        <v>810000</v>
      </c>
      <c r="H30">
        <f t="shared" si="7"/>
        <v>45090000</v>
      </c>
      <c r="N30" t="s">
        <v>162</v>
      </c>
    </row>
    <row r="31" spans="1:14" x14ac:dyDescent="0.25">
      <c r="F31" t="s">
        <v>155</v>
      </c>
      <c r="H31" t="s">
        <v>156</v>
      </c>
      <c r="N31" t="s">
        <v>163</v>
      </c>
    </row>
    <row r="33" spans="1:28" x14ac:dyDescent="0.25">
      <c r="A33" s="4"/>
      <c r="B33" s="4"/>
      <c r="C33" s="4" t="s">
        <v>174</v>
      </c>
      <c r="N33" s="6" t="s">
        <v>182</v>
      </c>
      <c r="P33" s="4" t="s">
        <v>184</v>
      </c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1:28" x14ac:dyDescent="0.25">
      <c r="A34">
        <v>0</v>
      </c>
      <c r="B34">
        <v>250000</v>
      </c>
      <c r="C34" s="23">
        <v>0</v>
      </c>
      <c r="E34">
        <v>0</v>
      </c>
      <c r="F34">
        <f>SUM($E$34:E34)</f>
        <v>0</v>
      </c>
      <c r="N34" t="s">
        <v>183</v>
      </c>
    </row>
    <row r="35" spans="1:28" x14ac:dyDescent="0.25">
      <c r="A35">
        <v>250001</v>
      </c>
      <c r="B35">
        <v>500000</v>
      </c>
      <c r="C35" s="32">
        <v>5.1499999999999997E-2</v>
      </c>
      <c r="E35">
        <f>(B35-B34)*C35</f>
        <v>12875</v>
      </c>
      <c r="F35">
        <f>SUM($E$34:E35)</f>
        <v>12875</v>
      </c>
    </row>
    <row r="36" spans="1:28" x14ac:dyDescent="0.25">
      <c r="A36">
        <v>500001</v>
      </c>
      <c r="B36">
        <v>1000000</v>
      </c>
      <c r="C36" s="32">
        <v>0.20599999999999999</v>
      </c>
      <c r="E36">
        <f t="shared" ref="E36:E37" si="9">(B36-B35)*C36</f>
        <v>103000</v>
      </c>
      <c r="F36">
        <f>SUM($E$34:E36)</f>
        <v>115875</v>
      </c>
      <c r="N36" s="16" t="s">
        <v>185</v>
      </c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1:28" x14ac:dyDescent="0.25">
      <c r="A37">
        <v>1000001</v>
      </c>
      <c r="B37">
        <v>10000000</v>
      </c>
      <c r="C37" s="32">
        <v>0.309</v>
      </c>
      <c r="E37">
        <f t="shared" si="9"/>
        <v>2781000</v>
      </c>
      <c r="F37">
        <f>SUM($E$34:E37)</f>
        <v>2896875</v>
      </c>
    </row>
    <row r="38" spans="1:28" x14ac:dyDescent="0.25">
      <c r="A38" t="s">
        <v>173</v>
      </c>
      <c r="B38">
        <v>10000000</v>
      </c>
      <c r="C38" s="32">
        <v>0.33989999999999998</v>
      </c>
    </row>
    <row r="41" spans="1:28" x14ac:dyDescent="0.25">
      <c r="A41" s="33" t="s">
        <v>175</v>
      </c>
      <c r="B41" s="18" t="s">
        <v>176</v>
      </c>
    </row>
    <row r="42" spans="1:28" x14ac:dyDescent="0.25">
      <c r="A42">
        <v>600000</v>
      </c>
      <c r="B42">
        <f>UDFINCTX(A42)</f>
        <v>33475</v>
      </c>
    </row>
    <row r="54" spans="2:2" x14ac:dyDescent="0.25">
      <c r="B54" t="s">
        <v>177</v>
      </c>
    </row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J87"/>
  <sheetViews>
    <sheetView workbookViewId="0">
      <selection activeCell="A2" sqref="A2"/>
    </sheetView>
  </sheetViews>
  <sheetFormatPr defaultRowHeight="15" x14ac:dyDescent="0.25"/>
  <cols>
    <col min="1" max="1" width="12.85546875" customWidth="1"/>
    <col min="5" max="5" width="11.42578125" bestFit="1" customWidth="1"/>
  </cols>
  <sheetData>
    <row r="1" spans="1:36" ht="32.25" customHeight="1" x14ac:dyDescent="0.3">
      <c r="A1" s="16" t="s">
        <v>238</v>
      </c>
      <c r="C1" s="35" t="s">
        <v>232</v>
      </c>
      <c r="D1" s="35" t="s">
        <v>233</v>
      </c>
      <c r="E1" s="35" t="s">
        <v>234</v>
      </c>
      <c r="F1" s="35" t="s">
        <v>235</v>
      </c>
      <c r="G1" s="35" t="s">
        <v>236</v>
      </c>
      <c r="R1" s="34" t="s">
        <v>250</v>
      </c>
    </row>
    <row r="2" spans="1:36" x14ac:dyDescent="0.25">
      <c r="A2" s="2" t="s">
        <v>219</v>
      </c>
      <c r="B2" s="2" t="s">
        <v>0</v>
      </c>
      <c r="C2" s="2" t="s">
        <v>1</v>
      </c>
      <c r="D2" s="2" t="s">
        <v>220</v>
      </c>
      <c r="E2" s="2" t="s">
        <v>3</v>
      </c>
      <c r="F2" s="2" t="s">
        <v>221</v>
      </c>
      <c r="G2" s="2" t="s">
        <v>5</v>
      </c>
      <c r="H2" s="2" t="s">
        <v>222</v>
      </c>
      <c r="U2" t="s">
        <v>251</v>
      </c>
      <c r="V2" s="16" t="s">
        <v>289</v>
      </c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</row>
    <row r="3" spans="1:36" x14ac:dyDescent="0.25">
      <c r="A3" t="s">
        <v>223</v>
      </c>
      <c r="B3">
        <v>10000</v>
      </c>
      <c r="C3">
        <f>B3*40%</f>
        <v>4000</v>
      </c>
      <c r="D3">
        <f>B3-C3</f>
        <v>6000</v>
      </c>
      <c r="E3">
        <f>B3*15%</f>
        <v>1500</v>
      </c>
      <c r="F3">
        <f>B3*8%</f>
        <v>800</v>
      </c>
      <c r="G3">
        <f>B3*12%</f>
        <v>1200</v>
      </c>
      <c r="H3">
        <f>D3-E3-F3-G3</f>
        <v>2500</v>
      </c>
      <c r="V3" s="6"/>
    </row>
    <row r="4" spans="1:36" x14ac:dyDescent="0.25">
      <c r="A4" t="s">
        <v>224</v>
      </c>
      <c r="B4">
        <v>12000</v>
      </c>
      <c r="C4">
        <f t="shared" ref="C4:C11" si="0">B4*40%</f>
        <v>4800</v>
      </c>
      <c r="D4">
        <f t="shared" ref="D4:D11" si="1">B4-C4</f>
        <v>7200</v>
      </c>
      <c r="E4">
        <f t="shared" ref="E4:E11" si="2">B4*15%</f>
        <v>1800</v>
      </c>
      <c r="F4">
        <f t="shared" ref="F4:F11" si="3">B4*8%</f>
        <v>960</v>
      </c>
      <c r="G4">
        <f t="shared" ref="G4:G11" si="4">B4*12%</f>
        <v>1440</v>
      </c>
      <c r="H4">
        <f t="shared" ref="H4:H11" si="5">D4-E4-F4-G4</f>
        <v>3000</v>
      </c>
      <c r="U4" t="s">
        <v>252</v>
      </c>
      <c r="V4" s="42" t="s">
        <v>253</v>
      </c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6" x14ac:dyDescent="0.25">
      <c r="A5" t="s">
        <v>225</v>
      </c>
      <c r="B5">
        <v>14000</v>
      </c>
      <c r="C5">
        <f t="shared" si="0"/>
        <v>5600</v>
      </c>
      <c r="D5">
        <f t="shared" si="1"/>
        <v>8400</v>
      </c>
      <c r="E5">
        <f t="shared" si="2"/>
        <v>2100</v>
      </c>
      <c r="F5">
        <f t="shared" si="3"/>
        <v>1120</v>
      </c>
      <c r="G5">
        <f t="shared" si="4"/>
        <v>1680</v>
      </c>
      <c r="H5">
        <f t="shared" si="5"/>
        <v>3500</v>
      </c>
    </row>
    <row r="6" spans="1:36" x14ac:dyDescent="0.25">
      <c r="A6" t="s">
        <v>226</v>
      </c>
      <c r="B6">
        <v>16000</v>
      </c>
      <c r="C6">
        <f t="shared" si="0"/>
        <v>6400</v>
      </c>
      <c r="D6">
        <f t="shared" si="1"/>
        <v>9600</v>
      </c>
      <c r="E6">
        <f t="shared" si="2"/>
        <v>2400</v>
      </c>
      <c r="F6">
        <f t="shared" si="3"/>
        <v>1280</v>
      </c>
      <c r="G6">
        <f t="shared" si="4"/>
        <v>1920</v>
      </c>
      <c r="H6">
        <f t="shared" si="5"/>
        <v>4000</v>
      </c>
      <c r="U6" t="s">
        <v>254</v>
      </c>
      <c r="V6" s="16" t="s">
        <v>290</v>
      </c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36" x14ac:dyDescent="0.25">
      <c r="A7" t="s">
        <v>227</v>
      </c>
      <c r="B7">
        <v>18000</v>
      </c>
      <c r="C7">
        <f t="shared" si="0"/>
        <v>7200</v>
      </c>
      <c r="D7">
        <f t="shared" si="1"/>
        <v>10800</v>
      </c>
      <c r="E7">
        <f t="shared" si="2"/>
        <v>2700</v>
      </c>
      <c r="F7">
        <f t="shared" si="3"/>
        <v>1440</v>
      </c>
      <c r="G7">
        <f t="shared" si="4"/>
        <v>2160</v>
      </c>
      <c r="H7">
        <f t="shared" si="5"/>
        <v>4500</v>
      </c>
    </row>
    <row r="8" spans="1:36" x14ac:dyDescent="0.25">
      <c r="A8" t="s">
        <v>228</v>
      </c>
      <c r="B8">
        <v>20000</v>
      </c>
      <c r="C8">
        <f t="shared" si="0"/>
        <v>8000</v>
      </c>
      <c r="D8">
        <f t="shared" si="1"/>
        <v>12000</v>
      </c>
      <c r="E8">
        <f t="shared" si="2"/>
        <v>3000</v>
      </c>
      <c r="F8">
        <f t="shared" si="3"/>
        <v>1600</v>
      </c>
      <c r="G8">
        <f t="shared" si="4"/>
        <v>2400</v>
      </c>
      <c r="H8">
        <f t="shared" si="5"/>
        <v>5000</v>
      </c>
      <c r="U8" t="s">
        <v>255</v>
      </c>
      <c r="V8" s="42" t="s">
        <v>256</v>
      </c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</row>
    <row r="9" spans="1:36" x14ac:dyDescent="0.25">
      <c r="A9" t="s">
        <v>229</v>
      </c>
      <c r="B9">
        <v>22000</v>
      </c>
      <c r="C9">
        <f t="shared" si="0"/>
        <v>8800</v>
      </c>
      <c r="D9">
        <f t="shared" si="1"/>
        <v>13200</v>
      </c>
      <c r="E9">
        <f t="shared" si="2"/>
        <v>3300</v>
      </c>
      <c r="F9">
        <f t="shared" si="3"/>
        <v>1760</v>
      </c>
      <c r="G9">
        <f t="shared" si="4"/>
        <v>2640</v>
      </c>
      <c r="H9">
        <f t="shared" si="5"/>
        <v>5500</v>
      </c>
    </row>
    <row r="10" spans="1:36" x14ac:dyDescent="0.25">
      <c r="A10" t="s">
        <v>230</v>
      </c>
      <c r="B10">
        <v>24000</v>
      </c>
      <c r="C10">
        <f t="shared" si="0"/>
        <v>9600</v>
      </c>
      <c r="D10">
        <f t="shared" si="1"/>
        <v>14400</v>
      </c>
      <c r="E10">
        <f t="shared" si="2"/>
        <v>3600</v>
      </c>
      <c r="F10">
        <f t="shared" si="3"/>
        <v>1920</v>
      </c>
      <c r="G10">
        <f t="shared" si="4"/>
        <v>2880</v>
      </c>
      <c r="H10">
        <f t="shared" si="5"/>
        <v>6000</v>
      </c>
      <c r="U10" t="s">
        <v>257</v>
      </c>
      <c r="V10" s="16" t="s">
        <v>258</v>
      </c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36" x14ac:dyDescent="0.25">
      <c r="A11" t="s">
        <v>231</v>
      </c>
      <c r="B11">
        <v>26000</v>
      </c>
      <c r="C11">
        <f t="shared" si="0"/>
        <v>10400</v>
      </c>
      <c r="D11">
        <f t="shared" si="1"/>
        <v>15600</v>
      </c>
      <c r="E11">
        <f t="shared" si="2"/>
        <v>3900</v>
      </c>
      <c r="F11">
        <f t="shared" si="3"/>
        <v>2080</v>
      </c>
      <c r="G11">
        <f t="shared" si="4"/>
        <v>3120</v>
      </c>
      <c r="H11">
        <f t="shared" si="5"/>
        <v>6500</v>
      </c>
    </row>
    <row r="12" spans="1:36" x14ac:dyDescent="0.25">
      <c r="U12" t="s">
        <v>291</v>
      </c>
      <c r="V12" s="42" t="s">
        <v>292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</row>
    <row r="13" spans="1:36" x14ac:dyDescent="0.25">
      <c r="A13">
        <v>1</v>
      </c>
    </row>
    <row r="14" spans="1:36" x14ac:dyDescent="0.25">
      <c r="A14" s="2" t="s">
        <v>219</v>
      </c>
      <c r="B14" s="2" t="s">
        <v>0</v>
      </c>
      <c r="C14" s="2" t="s">
        <v>1</v>
      </c>
      <c r="D14" s="2" t="s">
        <v>220</v>
      </c>
      <c r="E14" s="2" t="s">
        <v>3</v>
      </c>
      <c r="F14" s="2" t="s">
        <v>221</v>
      </c>
      <c r="G14" s="2" t="s">
        <v>5</v>
      </c>
      <c r="H14" s="2" t="s">
        <v>222</v>
      </c>
    </row>
    <row r="15" spans="1:36" x14ac:dyDescent="0.25">
      <c r="A15" t="str">
        <f t="shared" ref="A15:H15" si="6">INDEX($A$2:$H$11,$A$13+1,MATCH(A$14,$A$2:$H$2,0))</f>
        <v>INDIA</v>
      </c>
      <c r="B15">
        <f t="shared" si="6"/>
        <v>10000</v>
      </c>
      <c r="C15">
        <f t="shared" si="6"/>
        <v>4000</v>
      </c>
      <c r="D15">
        <f t="shared" si="6"/>
        <v>6000</v>
      </c>
      <c r="E15">
        <f t="shared" si="6"/>
        <v>1500</v>
      </c>
      <c r="F15">
        <f t="shared" si="6"/>
        <v>800</v>
      </c>
      <c r="G15">
        <f t="shared" si="6"/>
        <v>1200</v>
      </c>
      <c r="H15">
        <f t="shared" si="6"/>
        <v>2500</v>
      </c>
    </row>
    <row r="17" spans="1:8" x14ac:dyDescent="0.25">
      <c r="A17" s="15" t="s">
        <v>239</v>
      </c>
    </row>
    <row r="18" spans="1:8" x14ac:dyDescent="0.25">
      <c r="A18" s="16" t="s">
        <v>37</v>
      </c>
    </row>
    <row r="19" spans="1:8" x14ac:dyDescent="0.25">
      <c r="A19" s="2" t="s">
        <v>219</v>
      </c>
      <c r="B19" s="2" t="s">
        <v>0</v>
      </c>
      <c r="C19" s="2" t="s">
        <v>1</v>
      </c>
      <c r="D19" s="2" t="s">
        <v>220</v>
      </c>
      <c r="E19" s="2" t="s">
        <v>3</v>
      </c>
      <c r="F19" s="2" t="s">
        <v>221</v>
      </c>
      <c r="G19" s="2" t="s">
        <v>5</v>
      </c>
      <c r="H19" s="2" t="s">
        <v>222</v>
      </c>
    </row>
    <row r="20" spans="1:8" x14ac:dyDescent="0.25">
      <c r="A20" t="s">
        <v>223</v>
      </c>
      <c r="B20">
        <v>10000</v>
      </c>
      <c r="C20">
        <f>B20*40%</f>
        <v>4000</v>
      </c>
      <c r="D20">
        <f>B20-C20</f>
        <v>6000</v>
      </c>
      <c r="E20">
        <f>B20*15%</f>
        <v>1500</v>
      </c>
      <c r="F20">
        <f>B20*8%</f>
        <v>800</v>
      </c>
      <c r="G20">
        <f>B20*12%</f>
        <v>1200</v>
      </c>
      <c r="H20">
        <f>D20-E20-F20-G20</f>
        <v>2500</v>
      </c>
    </row>
    <row r="21" spans="1:8" x14ac:dyDescent="0.25">
      <c r="A21" t="s">
        <v>224</v>
      </c>
      <c r="B21">
        <v>12000</v>
      </c>
      <c r="C21">
        <f t="shared" ref="C21:C28" si="7">B21*40%</f>
        <v>4800</v>
      </c>
      <c r="D21">
        <f t="shared" ref="D21:D28" si="8">B21-C21</f>
        <v>7200</v>
      </c>
      <c r="E21">
        <f t="shared" ref="E21:E28" si="9">B21*15%</f>
        <v>1800</v>
      </c>
      <c r="F21">
        <f t="shared" ref="F21:F28" si="10">B21*8%</f>
        <v>960</v>
      </c>
      <c r="G21">
        <f t="shared" ref="G21:G28" si="11">B21*12%</f>
        <v>1440</v>
      </c>
      <c r="H21">
        <f t="shared" ref="H21:H28" si="12">D21-E21-F21-G21</f>
        <v>3000</v>
      </c>
    </row>
    <row r="22" spans="1:8" x14ac:dyDescent="0.25">
      <c r="A22" t="s">
        <v>225</v>
      </c>
      <c r="B22">
        <v>14000</v>
      </c>
      <c r="C22">
        <f t="shared" si="7"/>
        <v>5600</v>
      </c>
      <c r="D22">
        <f t="shared" si="8"/>
        <v>8400</v>
      </c>
      <c r="E22">
        <f t="shared" si="9"/>
        <v>2100</v>
      </c>
      <c r="F22">
        <f t="shared" si="10"/>
        <v>1120</v>
      </c>
      <c r="G22">
        <f t="shared" si="11"/>
        <v>1680</v>
      </c>
      <c r="H22">
        <f t="shared" si="12"/>
        <v>3500</v>
      </c>
    </row>
    <row r="23" spans="1:8" x14ac:dyDescent="0.25">
      <c r="A23" t="s">
        <v>226</v>
      </c>
      <c r="B23">
        <v>16000</v>
      </c>
      <c r="C23">
        <f t="shared" si="7"/>
        <v>6400</v>
      </c>
      <c r="D23">
        <f t="shared" si="8"/>
        <v>9600</v>
      </c>
      <c r="E23">
        <f t="shared" si="9"/>
        <v>2400</v>
      </c>
      <c r="F23">
        <f t="shared" si="10"/>
        <v>1280</v>
      </c>
      <c r="G23">
        <f t="shared" si="11"/>
        <v>1920</v>
      </c>
      <c r="H23">
        <f t="shared" si="12"/>
        <v>4000</v>
      </c>
    </row>
    <row r="24" spans="1:8" x14ac:dyDescent="0.25">
      <c r="A24" t="s">
        <v>227</v>
      </c>
      <c r="B24">
        <v>18000</v>
      </c>
      <c r="C24">
        <f t="shared" si="7"/>
        <v>7200</v>
      </c>
      <c r="D24">
        <f t="shared" si="8"/>
        <v>10800</v>
      </c>
      <c r="E24">
        <f t="shared" si="9"/>
        <v>2700</v>
      </c>
      <c r="F24">
        <f t="shared" si="10"/>
        <v>1440</v>
      </c>
      <c r="G24">
        <f t="shared" si="11"/>
        <v>2160</v>
      </c>
      <c r="H24">
        <f t="shared" si="12"/>
        <v>4500</v>
      </c>
    </row>
    <row r="25" spans="1:8" x14ac:dyDescent="0.25">
      <c r="A25" t="s">
        <v>228</v>
      </c>
      <c r="B25">
        <v>20000</v>
      </c>
      <c r="C25">
        <f t="shared" si="7"/>
        <v>8000</v>
      </c>
      <c r="D25">
        <f t="shared" si="8"/>
        <v>12000</v>
      </c>
      <c r="E25">
        <f t="shared" si="9"/>
        <v>3000</v>
      </c>
      <c r="F25">
        <f t="shared" si="10"/>
        <v>1600</v>
      </c>
      <c r="G25">
        <f t="shared" si="11"/>
        <v>2400</v>
      </c>
      <c r="H25">
        <f t="shared" si="12"/>
        <v>5000</v>
      </c>
    </row>
    <row r="26" spans="1:8" x14ac:dyDescent="0.25">
      <c r="A26" t="s">
        <v>229</v>
      </c>
      <c r="B26">
        <v>22000</v>
      </c>
      <c r="C26">
        <f t="shared" si="7"/>
        <v>8800</v>
      </c>
      <c r="D26">
        <f t="shared" si="8"/>
        <v>13200</v>
      </c>
      <c r="E26">
        <f t="shared" si="9"/>
        <v>3300</v>
      </c>
      <c r="F26">
        <f t="shared" si="10"/>
        <v>1760</v>
      </c>
      <c r="G26">
        <f t="shared" si="11"/>
        <v>2640</v>
      </c>
      <c r="H26">
        <f t="shared" si="12"/>
        <v>5500</v>
      </c>
    </row>
    <row r="27" spans="1:8" x14ac:dyDescent="0.25">
      <c r="A27" t="s">
        <v>230</v>
      </c>
      <c r="B27">
        <v>24000</v>
      </c>
      <c r="C27">
        <f t="shared" si="7"/>
        <v>9600</v>
      </c>
      <c r="D27">
        <f t="shared" si="8"/>
        <v>14400</v>
      </c>
      <c r="E27">
        <f t="shared" si="9"/>
        <v>3600</v>
      </c>
      <c r="F27">
        <f t="shared" si="10"/>
        <v>1920</v>
      </c>
      <c r="G27">
        <f t="shared" si="11"/>
        <v>2880</v>
      </c>
      <c r="H27">
        <f t="shared" si="12"/>
        <v>6000</v>
      </c>
    </row>
    <row r="28" spans="1:8" x14ac:dyDescent="0.25">
      <c r="A28" t="s">
        <v>231</v>
      </c>
      <c r="B28">
        <v>26000</v>
      </c>
      <c r="C28">
        <f t="shared" si="7"/>
        <v>10400</v>
      </c>
      <c r="D28">
        <f t="shared" si="8"/>
        <v>15600</v>
      </c>
      <c r="E28">
        <f t="shared" si="9"/>
        <v>3900</v>
      </c>
      <c r="F28">
        <f t="shared" si="10"/>
        <v>2080</v>
      </c>
      <c r="G28">
        <f t="shared" si="11"/>
        <v>3120</v>
      </c>
      <c r="H28">
        <f t="shared" si="12"/>
        <v>6500</v>
      </c>
    </row>
    <row r="30" spans="1:8" x14ac:dyDescent="0.25">
      <c r="A30">
        <v>9</v>
      </c>
    </row>
    <row r="31" spans="1:8" x14ac:dyDescent="0.25">
      <c r="A31" s="2" t="s">
        <v>219</v>
      </c>
      <c r="B31" s="2" t="s">
        <v>0</v>
      </c>
      <c r="C31" s="2" t="s">
        <v>1</v>
      </c>
      <c r="D31" s="2" t="s">
        <v>220</v>
      </c>
      <c r="E31" s="2" t="s">
        <v>3</v>
      </c>
      <c r="F31" s="2" t="s">
        <v>221</v>
      </c>
      <c r="G31" s="2" t="s">
        <v>5</v>
      </c>
      <c r="H31" s="2" t="s">
        <v>222</v>
      </c>
    </row>
    <row r="32" spans="1:8" x14ac:dyDescent="0.25">
      <c r="A32" t="str">
        <f ca="1">OFFSET($A$19,$A$30,MATCH(A$31,$A$19:$H$19,0)-1)</f>
        <v>ITALY</v>
      </c>
      <c r="B32">
        <f t="shared" ref="B32:H32" ca="1" si="13">OFFSET($A$19,$A$30,MATCH(B$31,$A$19:$H$19,0)-1)</f>
        <v>26000</v>
      </c>
      <c r="C32">
        <f t="shared" ca="1" si="13"/>
        <v>10400</v>
      </c>
      <c r="D32">
        <f t="shared" ca="1" si="13"/>
        <v>15600</v>
      </c>
      <c r="E32">
        <f t="shared" ca="1" si="13"/>
        <v>3900</v>
      </c>
      <c r="F32">
        <f t="shared" ca="1" si="13"/>
        <v>2080</v>
      </c>
      <c r="G32">
        <f t="shared" ca="1" si="13"/>
        <v>3120</v>
      </c>
      <c r="H32">
        <f t="shared" ca="1" si="13"/>
        <v>6500</v>
      </c>
    </row>
    <row r="33" spans="1:8" x14ac:dyDescent="0.25">
      <c r="A33" s="15" t="s">
        <v>240</v>
      </c>
    </row>
    <row r="34" spans="1:8" x14ac:dyDescent="0.25">
      <c r="A34" s="16" t="s">
        <v>241</v>
      </c>
    </row>
    <row r="35" spans="1:8" x14ac:dyDescent="0.25">
      <c r="A35" s="2" t="s">
        <v>219</v>
      </c>
      <c r="B35" s="2" t="s">
        <v>0</v>
      </c>
      <c r="C35" s="2" t="s">
        <v>1</v>
      </c>
      <c r="D35" s="2" t="s">
        <v>220</v>
      </c>
      <c r="E35" s="2" t="s">
        <v>3</v>
      </c>
      <c r="F35" s="2" t="s">
        <v>221</v>
      </c>
      <c r="G35" s="2" t="s">
        <v>5</v>
      </c>
      <c r="H35" s="2" t="s">
        <v>222</v>
      </c>
    </row>
    <row r="36" spans="1:8" x14ac:dyDescent="0.25">
      <c r="A36" t="s">
        <v>223</v>
      </c>
      <c r="B36">
        <v>10000</v>
      </c>
      <c r="C36">
        <f>B36*40%</f>
        <v>4000</v>
      </c>
      <c r="D36">
        <f>B36-C36</f>
        <v>6000</v>
      </c>
      <c r="E36">
        <f>B36*15%</f>
        <v>1500</v>
      </c>
      <c r="F36">
        <f>B36*8%</f>
        <v>800</v>
      </c>
      <c r="G36">
        <f>B36*12%</f>
        <v>1200</v>
      </c>
      <c r="H36">
        <f>D36-E36-F36-G36</f>
        <v>2500</v>
      </c>
    </row>
    <row r="37" spans="1:8" x14ac:dyDescent="0.25">
      <c r="A37" t="s">
        <v>224</v>
      </c>
      <c r="B37">
        <v>12000</v>
      </c>
      <c r="C37">
        <f t="shared" ref="C37:C44" si="14">B37*40%</f>
        <v>4800</v>
      </c>
      <c r="D37">
        <f t="shared" ref="D37:D44" si="15">B37-C37</f>
        <v>7200</v>
      </c>
      <c r="E37">
        <f t="shared" ref="E37:E44" si="16">B37*15%</f>
        <v>1800</v>
      </c>
      <c r="F37">
        <f t="shared" ref="F37:F44" si="17">B37*8%</f>
        <v>960</v>
      </c>
      <c r="G37">
        <f t="shared" ref="G37:G44" si="18">B37*12%</f>
        <v>1440</v>
      </c>
      <c r="H37">
        <f t="shared" ref="H37:H44" si="19">D37-E37-F37-G37</f>
        <v>3000</v>
      </c>
    </row>
    <row r="38" spans="1:8" x14ac:dyDescent="0.25">
      <c r="A38" t="s">
        <v>225</v>
      </c>
      <c r="B38">
        <v>14000</v>
      </c>
      <c r="C38">
        <f t="shared" si="14"/>
        <v>5600</v>
      </c>
      <c r="D38">
        <f t="shared" si="15"/>
        <v>8400</v>
      </c>
      <c r="E38">
        <f t="shared" si="16"/>
        <v>2100</v>
      </c>
      <c r="F38">
        <f t="shared" si="17"/>
        <v>1120</v>
      </c>
      <c r="G38">
        <f t="shared" si="18"/>
        <v>1680</v>
      </c>
      <c r="H38">
        <f t="shared" si="19"/>
        <v>3500</v>
      </c>
    </row>
    <row r="39" spans="1:8" x14ac:dyDescent="0.25">
      <c r="A39" t="s">
        <v>226</v>
      </c>
      <c r="B39">
        <v>16000</v>
      </c>
      <c r="C39">
        <f t="shared" si="14"/>
        <v>6400</v>
      </c>
      <c r="D39">
        <f t="shared" si="15"/>
        <v>9600</v>
      </c>
      <c r="E39">
        <f t="shared" si="16"/>
        <v>2400</v>
      </c>
      <c r="F39">
        <f t="shared" si="17"/>
        <v>1280</v>
      </c>
      <c r="G39">
        <f t="shared" si="18"/>
        <v>1920</v>
      </c>
      <c r="H39">
        <f t="shared" si="19"/>
        <v>4000</v>
      </c>
    </row>
    <row r="40" spans="1:8" x14ac:dyDescent="0.25">
      <c r="A40" t="s">
        <v>227</v>
      </c>
      <c r="B40">
        <v>18000</v>
      </c>
      <c r="C40">
        <f t="shared" si="14"/>
        <v>7200</v>
      </c>
      <c r="D40">
        <f t="shared" si="15"/>
        <v>10800</v>
      </c>
      <c r="E40">
        <f t="shared" si="16"/>
        <v>2700</v>
      </c>
      <c r="F40">
        <f t="shared" si="17"/>
        <v>1440</v>
      </c>
      <c r="G40">
        <f t="shared" si="18"/>
        <v>2160</v>
      </c>
      <c r="H40">
        <f t="shared" si="19"/>
        <v>4500</v>
      </c>
    </row>
    <row r="41" spans="1:8" x14ac:dyDescent="0.25">
      <c r="A41" t="s">
        <v>228</v>
      </c>
      <c r="B41">
        <v>20000</v>
      </c>
      <c r="C41">
        <f t="shared" si="14"/>
        <v>8000</v>
      </c>
      <c r="D41">
        <f t="shared" si="15"/>
        <v>12000</v>
      </c>
      <c r="E41">
        <f t="shared" si="16"/>
        <v>3000</v>
      </c>
      <c r="F41">
        <f t="shared" si="17"/>
        <v>1600</v>
      </c>
      <c r="G41">
        <f t="shared" si="18"/>
        <v>2400</v>
      </c>
      <c r="H41">
        <f t="shared" si="19"/>
        <v>5000</v>
      </c>
    </row>
    <row r="42" spans="1:8" x14ac:dyDescent="0.25">
      <c r="A42" t="s">
        <v>229</v>
      </c>
      <c r="B42">
        <v>22000</v>
      </c>
      <c r="C42">
        <f t="shared" si="14"/>
        <v>8800</v>
      </c>
      <c r="D42">
        <f t="shared" si="15"/>
        <v>13200</v>
      </c>
      <c r="E42">
        <f t="shared" si="16"/>
        <v>3300</v>
      </c>
      <c r="F42">
        <f t="shared" si="17"/>
        <v>1760</v>
      </c>
      <c r="G42">
        <f t="shared" si="18"/>
        <v>2640</v>
      </c>
      <c r="H42">
        <f t="shared" si="19"/>
        <v>5500</v>
      </c>
    </row>
    <row r="43" spans="1:8" x14ac:dyDescent="0.25">
      <c r="A43" t="s">
        <v>230</v>
      </c>
      <c r="B43">
        <v>24000</v>
      </c>
      <c r="C43">
        <f t="shared" si="14"/>
        <v>9600</v>
      </c>
      <c r="D43">
        <f t="shared" si="15"/>
        <v>14400</v>
      </c>
      <c r="E43">
        <f t="shared" si="16"/>
        <v>3600</v>
      </c>
      <c r="F43">
        <f t="shared" si="17"/>
        <v>1920</v>
      </c>
      <c r="G43">
        <f t="shared" si="18"/>
        <v>2880</v>
      </c>
      <c r="H43">
        <f t="shared" si="19"/>
        <v>6000</v>
      </c>
    </row>
    <row r="44" spans="1:8" x14ac:dyDescent="0.25">
      <c r="A44" t="s">
        <v>231</v>
      </c>
      <c r="B44">
        <v>26000</v>
      </c>
      <c r="C44">
        <f t="shared" si="14"/>
        <v>10400</v>
      </c>
      <c r="D44">
        <f t="shared" si="15"/>
        <v>15600</v>
      </c>
      <c r="E44">
        <f t="shared" si="16"/>
        <v>3900</v>
      </c>
      <c r="F44">
        <f t="shared" si="17"/>
        <v>2080</v>
      </c>
      <c r="G44">
        <f t="shared" si="18"/>
        <v>3120</v>
      </c>
      <c r="H44">
        <f t="shared" si="19"/>
        <v>6500</v>
      </c>
    </row>
    <row r="45" spans="1:8" x14ac:dyDescent="0.25">
      <c r="A45">
        <v>3</v>
      </c>
    </row>
    <row r="47" spans="1:8" x14ac:dyDescent="0.25">
      <c r="A47" s="2" t="s">
        <v>219</v>
      </c>
      <c r="B47" s="2" t="s">
        <v>0</v>
      </c>
      <c r="C47" s="2" t="s">
        <v>1</v>
      </c>
      <c r="D47" s="2" t="s">
        <v>220</v>
      </c>
      <c r="E47" s="2" t="s">
        <v>3</v>
      </c>
      <c r="F47" s="2" t="s">
        <v>221</v>
      </c>
      <c r="G47" s="2" t="s">
        <v>5</v>
      </c>
      <c r="H47" s="2" t="s">
        <v>222</v>
      </c>
    </row>
    <row r="48" spans="1:8" x14ac:dyDescent="0.25">
      <c r="A48" t="str">
        <f>HLOOKUP(A$47,$A$35:$H$44,$A$45+1,0)</f>
        <v>UK</v>
      </c>
      <c r="B48">
        <f t="shared" ref="B48:H48" si="20">HLOOKUP(B$47,$A$35:$H$44,$A$45+1,0)</f>
        <v>14000</v>
      </c>
      <c r="C48">
        <f t="shared" si="20"/>
        <v>5600</v>
      </c>
      <c r="D48">
        <f t="shared" si="20"/>
        <v>8400</v>
      </c>
      <c r="E48">
        <f t="shared" si="20"/>
        <v>2100</v>
      </c>
      <c r="F48">
        <f t="shared" si="20"/>
        <v>1120</v>
      </c>
      <c r="G48">
        <f t="shared" si="20"/>
        <v>1680</v>
      </c>
      <c r="H48">
        <f t="shared" si="20"/>
        <v>3500</v>
      </c>
    </row>
    <row r="49" spans="1:8" x14ac:dyDescent="0.25">
      <c r="A49" s="15" t="s">
        <v>242</v>
      </c>
    </row>
    <row r="53" spans="1:8" x14ac:dyDescent="0.25">
      <c r="A53" s="16" t="s">
        <v>209</v>
      </c>
    </row>
    <row r="54" spans="1:8" x14ac:dyDescent="0.25">
      <c r="A54" s="2" t="s">
        <v>219</v>
      </c>
      <c r="B54" s="2" t="s">
        <v>0</v>
      </c>
      <c r="C54" s="2" t="s">
        <v>1</v>
      </c>
      <c r="D54" s="2" t="s">
        <v>220</v>
      </c>
      <c r="E54" s="2" t="s">
        <v>3</v>
      </c>
      <c r="F54" s="2" t="s">
        <v>221</v>
      </c>
      <c r="G54" s="2" t="s">
        <v>5</v>
      </c>
      <c r="H54" s="2" t="s">
        <v>222</v>
      </c>
    </row>
    <row r="55" spans="1:8" x14ac:dyDescent="0.25">
      <c r="A55" t="s">
        <v>223</v>
      </c>
      <c r="B55">
        <v>10000</v>
      </c>
      <c r="C55">
        <f>B55*40%</f>
        <v>4000</v>
      </c>
      <c r="D55">
        <f>B55-C55</f>
        <v>6000</v>
      </c>
      <c r="E55">
        <f>B55*15%</f>
        <v>1500</v>
      </c>
      <c r="F55">
        <f>B55*8%</f>
        <v>800</v>
      </c>
      <c r="G55">
        <f>B55*12%</f>
        <v>1200</v>
      </c>
      <c r="H55">
        <f>D55-E55-F55-G55</f>
        <v>2500</v>
      </c>
    </row>
    <row r="56" spans="1:8" x14ac:dyDescent="0.25">
      <c r="A56" t="s">
        <v>224</v>
      </c>
      <c r="B56">
        <v>12000</v>
      </c>
      <c r="C56">
        <f t="shared" ref="C56:C63" si="21">B56*40%</f>
        <v>4800</v>
      </c>
      <c r="D56">
        <f t="shared" ref="D56:D63" si="22">B56-C56</f>
        <v>7200</v>
      </c>
      <c r="E56">
        <f t="shared" ref="E56:E63" si="23">B56*15%</f>
        <v>1800</v>
      </c>
      <c r="F56">
        <f t="shared" ref="F56:F63" si="24">B56*8%</f>
        <v>960</v>
      </c>
      <c r="G56">
        <f t="shared" ref="G56:G63" si="25">B56*12%</f>
        <v>1440</v>
      </c>
      <c r="H56">
        <f t="shared" ref="H56:H63" si="26">D56-E56-F56-G56</f>
        <v>3000</v>
      </c>
    </row>
    <row r="57" spans="1:8" x14ac:dyDescent="0.25">
      <c r="A57" t="s">
        <v>225</v>
      </c>
      <c r="B57">
        <v>14000</v>
      </c>
      <c r="C57">
        <f t="shared" si="21"/>
        <v>5600</v>
      </c>
      <c r="D57">
        <f t="shared" si="22"/>
        <v>8400</v>
      </c>
      <c r="E57">
        <f t="shared" si="23"/>
        <v>2100</v>
      </c>
      <c r="F57">
        <f t="shared" si="24"/>
        <v>1120</v>
      </c>
      <c r="G57">
        <f t="shared" si="25"/>
        <v>1680</v>
      </c>
      <c r="H57">
        <f t="shared" si="26"/>
        <v>3500</v>
      </c>
    </row>
    <row r="58" spans="1:8" x14ac:dyDescent="0.25">
      <c r="A58" t="s">
        <v>226</v>
      </c>
      <c r="B58">
        <v>16000</v>
      </c>
      <c r="C58">
        <f t="shared" si="21"/>
        <v>6400</v>
      </c>
      <c r="D58">
        <f t="shared" si="22"/>
        <v>9600</v>
      </c>
      <c r="E58">
        <f t="shared" si="23"/>
        <v>2400</v>
      </c>
      <c r="F58">
        <f t="shared" si="24"/>
        <v>1280</v>
      </c>
      <c r="G58">
        <f t="shared" si="25"/>
        <v>1920</v>
      </c>
      <c r="H58">
        <f t="shared" si="26"/>
        <v>4000</v>
      </c>
    </row>
    <row r="59" spans="1:8" x14ac:dyDescent="0.25">
      <c r="A59" t="s">
        <v>227</v>
      </c>
      <c r="B59">
        <v>18000</v>
      </c>
      <c r="C59">
        <f t="shared" si="21"/>
        <v>7200</v>
      </c>
      <c r="D59">
        <f t="shared" si="22"/>
        <v>10800</v>
      </c>
      <c r="E59">
        <f t="shared" si="23"/>
        <v>2700</v>
      </c>
      <c r="F59">
        <f t="shared" si="24"/>
        <v>1440</v>
      </c>
      <c r="G59">
        <f t="shared" si="25"/>
        <v>2160</v>
      </c>
      <c r="H59">
        <f t="shared" si="26"/>
        <v>4500</v>
      </c>
    </row>
    <row r="60" spans="1:8" x14ac:dyDescent="0.25">
      <c r="A60" t="s">
        <v>228</v>
      </c>
      <c r="B60">
        <v>20000</v>
      </c>
      <c r="C60">
        <f t="shared" si="21"/>
        <v>8000</v>
      </c>
      <c r="D60">
        <f t="shared" si="22"/>
        <v>12000</v>
      </c>
      <c r="E60">
        <f t="shared" si="23"/>
        <v>3000</v>
      </c>
      <c r="F60">
        <f t="shared" si="24"/>
        <v>1600</v>
      </c>
      <c r="G60">
        <f t="shared" si="25"/>
        <v>2400</v>
      </c>
      <c r="H60">
        <f t="shared" si="26"/>
        <v>5000</v>
      </c>
    </row>
    <row r="61" spans="1:8" x14ac:dyDescent="0.25">
      <c r="A61" t="s">
        <v>229</v>
      </c>
      <c r="B61">
        <v>22000</v>
      </c>
      <c r="C61">
        <f t="shared" si="21"/>
        <v>8800</v>
      </c>
      <c r="D61">
        <f t="shared" si="22"/>
        <v>13200</v>
      </c>
      <c r="E61">
        <f t="shared" si="23"/>
        <v>3300</v>
      </c>
      <c r="F61">
        <f t="shared" si="24"/>
        <v>1760</v>
      </c>
      <c r="G61">
        <f t="shared" si="25"/>
        <v>2640</v>
      </c>
      <c r="H61">
        <f t="shared" si="26"/>
        <v>5500</v>
      </c>
    </row>
    <row r="62" spans="1:8" x14ac:dyDescent="0.25">
      <c r="A62" t="s">
        <v>230</v>
      </c>
      <c r="B62">
        <v>24000</v>
      </c>
      <c r="C62">
        <f t="shared" si="21"/>
        <v>9600</v>
      </c>
      <c r="D62">
        <f t="shared" si="22"/>
        <v>14400</v>
      </c>
      <c r="E62">
        <f t="shared" si="23"/>
        <v>3600</v>
      </c>
      <c r="F62">
        <f t="shared" si="24"/>
        <v>1920</v>
      </c>
      <c r="G62">
        <f t="shared" si="25"/>
        <v>2880</v>
      </c>
      <c r="H62">
        <f t="shared" si="26"/>
        <v>6000</v>
      </c>
    </row>
    <row r="63" spans="1:8" x14ac:dyDescent="0.25">
      <c r="A63" t="s">
        <v>231</v>
      </c>
      <c r="B63">
        <v>26000</v>
      </c>
      <c r="C63">
        <f t="shared" si="21"/>
        <v>10400</v>
      </c>
      <c r="D63">
        <f t="shared" si="22"/>
        <v>15600</v>
      </c>
      <c r="E63">
        <f t="shared" si="23"/>
        <v>3900</v>
      </c>
      <c r="F63">
        <f t="shared" si="24"/>
        <v>2080</v>
      </c>
      <c r="G63">
        <f t="shared" si="25"/>
        <v>3120</v>
      </c>
      <c r="H63">
        <f t="shared" si="26"/>
        <v>6500</v>
      </c>
    </row>
    <row r="65" spans="1:8" x14ac:dyDescent="0.25">
      <c r="A65">
        <v>8</v>
      </c>
    </row>
    <row r="66" spans="1:8" x14ac:dyDescent="0.25">
      <c r="A66" s="2" t="s">
        <v>219</v>
      </c>
      <c r="B66" s="2" t="s">
        <v>0</v>
      </c>
      <c r="C66" s="2" t="s">
        <v>1</v>
      </c>
      <c r="D66" s="2" t="s">
        <v>220</v>
      </c>
      <c r="E66" s="2" t="s">
        <v>3</v>
      </c>
      <c r="F66" s="2" t="s">
        <v>221</v>
      </c>
      <c r="G66" s="2" t="s">
        <v>5</v>
      </c>
      <c r="H66" s="2" t="s">
        <v>222</v>
      </c>
    </row>
    <row r="67" spans="1:8" x14ac:dyDescent="0.25">
      <c r="A67" t="str">
        <f ca="1">VLOOKUP(OFFSET($A$54,$A$65,0),$A$54:$H$63,MATCH(A$66,$A$54:$H$54,0),0)</f>
        <v>CANADA</v>
      </c>
      <c r="B67">
        <f t="shared" ref="B67:H67" ca="1" si="27">VLOOKUP(OFFSET($A$54,$A$65,0),$A$54:$H$63,MATCH(B$66,$A$54:$H$54,0),0)</f>
        <v>24000</v>
      </c>
      <c r="C67">
        <f t="shared" ca="1" si="27"/>
        <v>9600</v>
      </c>
      <c r="D67">
        <f t="shared" ca="1" si="27"/>
        <v>14400</v>
      </c>
      <c r="E67">
        <f t="shared" ca="1" si="27"/>
        <v>3600</v>
      </c>
      <c r="F67">
        <f t="shared" ca="1" si="27"/>
        <v>1920</v>
      </c>
      <c r="G67">
        <f t="shared" ca="1" si="27"/>
        <v>2880</v>
      </c>
      <c r="H67">
        <f t="shared" ca="1" si="27"/>
        <v>6000</v>
      </c>
    </row>
    <row r="68" spans="1:8" x14ac:dyDescent="0.25">
      <c r="A68" s="15" t="s">
        <v>293</v>
      </c>
    </row>
    <row r="69" spans="1:8" x14ac:dyDescent="0.25">
      <c r="A69" s="4" t="s">
        <v>237</v>
      </c>
      <c r="B69" s="4"/>
      <c r="C69" s="4"/>
      <c r="D69" s="4"/>
      <c r="E69" s="4"/>
      <c r="F69" s="4"/>
      <c r="G69" s="4"/>
    </row>
    <row r="71" spans="1:8" x14ac:dyDescent="0.25">
      <c r="A71" s="16" t="s">
        <v>243</v>
      </c>
    </row>
    <row r="72" spans="1:8" x14ac:dyDescent="0.25">
      <c r="A72" s="2" t="s">
        <v>219</v>
      </c>
      <c r="B72" s="2" t="s">
        <v>0</v>
      </c>
      <c r="C72" s="2" t="s">
        <v>1</v>
      </c>
      <c r="D72" s="2" t="s">
        <v>220</v>
      </c>
      <c r="E72" s="2" t="s">
        <v>3</v>
      </c>
      <c r="F72" s="2" t="s">
        <v>221</v>
      </c>
      <c r="G72" s="2" t="s">
        <v>5</v>
      </c>
      <c r="H72" s="2" t="s">
        <v>222</v>
      </c>
    </row>
    <row r="73" spans="1:8" x14ac:dyDescent="0.25">
      <c r="A73" t="s">
        <v>223</v>
      </c>
      <c r="B73">
        <v>10000</v>
      </c>
      <c r="C73">
        <f>B73*40%</f>
        <v>4000</v>
      </c>
      <c r="D73">
        <f>B73-C73</f>
        <v>6000</v>
      </c>
      <c r="E73">
        <f>B73*15%</f>
        <v>1500</v>
      </c>
      <c r="F73">
        <f>B73*8%</f>
        <v>800</v>
      </c>
      <c r="G73">
        <f>B73*12%</f>
        <v>1200</v>
      </c>
      <c r="H73">
        <f>D73-E73-F73-G73</f>
        <v>2500</v>
      </c>
    </row>
    <row r="74" spans="1:8" x14ac:dyDescent="0.25">
      <c r="A74" t="s">
        <v>224</v>
      </c>
      <c r="B74">
        <v>12000</v>
      </c>
      <c r="C74">
        <f t="shared" ref="C74:C81" si="28">B74*40%</f>
        <v>4800</v>
      </c>
      <c r="D74">
        <f t="shared" ref="D74:D81" si="29">B74-C74</f>
        <v>7200</v>
      </c>
      <c r="E74">
        <f t="shared" ref="E74:E81" si="30">B74*15%</f>
        <v>1800</v>
      </c>
      <c r="F74">
        <f t="shared" ref="F74:F81" si="31">B74*8%</f>
        <v>960</v>
      </c>
      <c r="G74">
        <f t="shared" ref="G74:G81" si="32">B74*12%</f>
        <v>1440</v>
      </c>
      <c r="H74">
        <f t="shared" ref="H74:H81" si="33">D74-E74-F74-G74</f>
        <v>3000</v>
      </c>
    </row>
    <row r="75" spans="1:8" x14ac:dyDescent="0.25">
      <c r="A75" t="s">
        <v>225</v>
      </c>
      <c r="B75">
        <v>14000</v>
      </c>
      <c r="C75">
        <f t="shared" si="28"/>
        <v>5600</v>
      </c>
      <c r="D75">
        <f t="shared" si="29"/>
        <v>8400</v>
      </c>
      <c r="E75">
        <f t="shared" si="30"/>
        <v>2100</v>
      </c>
      <c r="F75">
        <f t="shared" si="31"/>
        <v>1120</v>
      </c>
      <c r="G75">
        <f t="shared" si="32"/>
        <v>1680</v>
      </c>
      <c r="H75">
        <f t="shared" si="33"/>
        <v>3500</v>
      </c>
    </row>
    <row r="76" spans="1:8" x14ac:dyDescent="0.25">
      <c r="A76" t="s">
        <v>226</v>
      </c>
      <c r="B76">
        <v>16000</v>
      </c>
      <c r="C76">
        <f t="shared" si="28"/>
        <v>6400</v>
      </c>
      <c r="D76">
        <f t="shared" si="29"/>
        <v>9600</v>
      </c>
      <c r="E76">
        <f t="shared" si="30"/>
        <v>2400</v>
      </c>
      <c r="F76">
        <f t="shared" si="31"/>
        <v>1280</v>
      </c>
      <c r="G76">
        <f t="shared" si="32"/>
        <v>1920</v>
      </c>
      <c r="H76">
        <f t="shared" si="33"/>
        <v>4000</v>
      </c>
    </row>
    <row r="77" spans="1:8" x14ac:dyDescent="0.25">
      <c r="A77" t="s">
        <v>227</v>
      </c>
      <c r="B77">
        <v>18000</v>
      </c>
      <c r="C77">
        <f t="shared" si="28"/>
        <v>7200</v>
      </c>
      <c r="D77">
        <f t="shared" si="29"/>
        <v>10800</v>
      </c>
      <c r="E77">
        <f t="shared" si="30"/>
        <v>2700</v>
      </c>
      <c r="F77">
        <f t="shared" si="31"/>
        <v>1440</v>
      </c>
      <c r="G77">
        <f t="shared" si="32"/>
        <v>2160</v>
      </c>
      <c r="H77">
        <f t="shared" si="33"/>
        <v>4500</v>
      </c>
    </row>
    <row r="78" spans="1:8" x14ac:dyDescent="0.25">
      <c r="A78" t="s">
        <v>228</v>
      </c>
      <c r="B78">
        <v>20000</v>
      </c>
      <c r="C78">
        <f t="shared" si="28"/>
        <v>8000</v>
      </c>
      <c r="D78">
        <f t="shared" si="29"/>
        <v>12000</v>
      </c>
      <c r="E78">
        <f t="shared" si="30"/>
        <v>3000</v>
      </c>
      <c r="F78">
        <f t="shared" si="31"/>
        <v>1600</v>
      </c>
      <c r="G78">
        <f t="shared" si="32"/>
        <v>2400</v>
      </c>
      <c r="H78">
        <f t="shared" si="33"/>
        <v>5000</v>
      </c>
    </row>
    <row r="79" spans="1:8" x14ac:dyDescent="0.25">
      <c r="A79" t="s">
        <v>229</v>
      </c>
      <c r="B79">
        <v>22000</v>
      </c>
      <c r="C79">
        <f t="shared" si="28"/>
        <v>8800</v>
      </c>
      <c r="D79">
        <f t="shared" si="29"/>
        <v>13200</v>
      </c>
      <c r="E79">
        <f t="shared" si="30"/>
        <v>3300</v>
      </c>
      <c r="F79">
        <f t="shared" si="31"/>
        <v>1760</v>
      </c>
      <c r="G79">
        <f t="shared" si="32"/>
        <v>2640</v>
      </c>
      <c r="H79">
        <f t="shared" si="33"/>
        <v>5500</v>
      </c>
    </row>
    <row r="80" spans="1:8" x14ac:dyDescent="0.25">
      <c r="A80" t="s">
        <v>230</v>
      </c>
      <c r="B80">
        <v>24000</v>
      </c>
      <c r="C80">
        <f t="shared" si="28"/>
        <v>9600</v>
      </c>
      <c r="D80">
        <f t="shared" si="29"/>
        <v>14400</v>
      </c>
      <c r="E80">
        <f t="shared" si="30"/>
        <v>3600</v>
      </c>
      <c r="F80">
        <f t="shared" si="31"/>
        <v>1920</v>
      </c>
      <c r="G80">
        <f t="shared" si="32"/>
        <v>2880</v>
      </c>
      <c r="H80">
        <f t="shared" si="33"/>
        <v>6000</v>
      </c>
    </row>
    <row r="81" spans="1:8" x14ac:dyDescent="0.25">
      <c r="A81" t="s">
        <v>231</v>
      </c>
      <c r="B81">
        <v>26000</v>
      </c>
      <c r="C81">
        <f t="shared" si="28"/>
        <v>10400</v>
      </c>
      <c r="D81">
        <f t="shared" si="29"/>
        <v>15600</v>
      </c>
      <c r="E81">
        <f t="shared" si="30"/>
        <v>3900</v>
      </c>
      <c r="F81">
        <f t="shared" si="31"/>
        <v>2080</v>
      </c>
      <c r="G81">
        <f t="shared" si="32"/>
        <v>3120</v>
      </c>
      <c r="H81">
        <f t="shared" si="33"/>
        <v>6500</v>
      </c>
    </row>
    <row r="83" spans="1:8" x14ac:dyDescent="0.25">
      <c r="A83">
        <v>9</v>
      </c>
    </row>
    <row r="84" spans="1:8" x14ac:dyDescent="0.25">
      <c r="A84" s="2" t="s">
        <v>219</v>
      </c>
      <c r="B84" s="2" t="s">
        <v>0</v>
      </c>
      <c r="C84" s="2" t="s">
        <v>1</v>
      </c>
      <c r="D84" s="2" t="s">
        <v>220</v>
      </c>
      <c r="E84" s="2" t="s">
        <v>3</v>
      </c>
      <c r="F84" s="2" t="s">
        <v>221</v>
      </c>
      <c r="G84" s="2" t="s">
        <v>5</v>
      </c>
      <c r="H84" s="2" t="s">
        <v>222</v>
      </c>
    </row>
    <row r="85" spans="1:8" x14ac:dyDescent="0.25">
      <c r="A85" t="str">
        <f>CHOOSE($A$83,A73,A74,A75,A76,A77,A78,A79,A80,A81)</f>
        <v>ITALY</v>
      </c>
      <c r="B85">
        <f t="shared" ref="B85:H85" si="34">CHOOSE($A$83,B73,B74,B75,B76,B77,B78,B79,B80,B81)</f>
        <v>26000</v>
      </c>
      <c r="C85">
        <f t="shared" si="34"/>
        <v>10400</v>
      </c>
      <c r="D85">
        <f t="shared" si="34"/>
        <v>15600</v>
      </c>
      <c r="E85">
        <f t="shared" si="34"/>
        <v>3900</v>
      </c>
      <c r="F85">
        <f t="shared" si="34"/>
        <v>2080</v>
      </c>
      <c r="G85">
        <f t="shared" si="34"/>
        <v>3120</v>
      </c>
      <c r="H85">
        <f t="shared" si="34"/>
        <v>6500</v>
      </c>
    </row>
    <row r="87" spans="1:8" x14ac:dyDescent="0.25">
      <c r="A87" s="15" t="s">
        <v>244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List Box 1">
              <controlPr defaultSize="0" autoLine="0" autoPict="0">
                <anchor moveWithCells="1">
                  <from>
                    <xdr:col>16</xdr:col>
                    <xdr:colOff>95250</xdr:colOff>
                    <xdr:row>1</xdr:row>
                    <xdr:rowOff>95250</xdr:rowOff>
                  </from>
                  <to>
                    <xdr:col>17</xdr:col>
                    <xdr:colOff>219075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List Box 2">
              <controlPr defaultSize="0" autoLine="0" autoPict="0">
                <anchor moveWithCells="1">
                  <from>
                    <xdr:col>16</xdr:col>
                    <xdr:colOff>114300</xdr:colOff>
                    <xdr:row>19</xdr:row>
                    <xdr:rowOff>19050</xdr:rowOff>
                  </from>
                  <to>
                    <xdr:col>17</xdr:col>
                    <xdr:colOff>276225</xdr:colOff>
                    <xdr:row>26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List Box 3">
              <controlPr defaultSize="0" autoLine="0" autoPict="0">
                <anchor moveWithCells="1">
                  <from>
                    <xdr:col>16</xdr:col>
                    <xdr:colOff>180975</xdr:colOff>
                    <xdr:row>35</xdr:row>
                    <xdr:rowOff>66675</xdr:rowOff>
                  </from>
                  <to>
                    <xdr:col>17</xdr:col>
                    <xdr:colOff>400050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List Box 4">
              <controlPr defaultSize="0" autoLine="0" autoPict="0">
                <anchor moveWithCells="1">
                  <from>
                    <xdr:col>16</xdr:col>
                    <xdr:colOff>323850</xdr:colOff>
                    <xdr:row>53</xdr:row>
                    <xdr:rowOff>47625</xdr:rowOff>
                  </from>
                  <to>
                    <xdr:col>17</xdr:col>
                    <xdr:colOff>552450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List Box 5">
              <controlPr defaultSize="0" autoLine="0" autoPict="0">
                <anchor moveWithCells="1">
                  <from>
                    <xdr:col>15</xdr:col>
                    <xdr:colOff>571500</xdr:colOff>
                    <xdr:row>71</xdr:row>
                    <xdr:rowOff>171450</xdr:rowOff>
                  </from>
                  <to>
                    <xdr:col>17</xdr:col>
                    <xdr:colOff>142875</xdr:colOff>
                    <xdr:row>78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P44"/>
  <sheetViews>
    <sheetView workbookViewId="0">
      <selection activeCell="G4" sqref="G4"/>
    </sheetView>
  </sheetViews>
  <sheetFormatPr defaultRowHeight="15" x14ac:dyDescent="0.25"/>
  <cols>
    <col min="1" max="1" width="11.5703125" bestFit="1" customWidth="1"/>
    <col min="2" max="2" width="8.28515625" bestFit="1" customWidth="1"/>
    <col min="3" max="3" width="4.7109375" bestFit="1" customWidth="1"/>
    <col min="4" max="4" width="4.85546875" bestFit="1" customWidth="1"/>
    <col min="5" max="5" width="13.5703125" bestFit="1" customWidth="1"/>
    <col min="6" max="6" width="10.5703125" customWidth="1"/>
    <col min="14" max="14" width="3" bestFit="1" customWidth="1"/>
    <col min="16" max="16" width="11.28515625" bestFit="1" customWidth="1"/>
  </cols>
  <sheetData>
    <row r="1" spans="1:16" x14ac:dyDescent="0.25">
      <c r="A1" s="13" t="s">
        <v>245</v>
      </c>
      <c r="B1" s="13" t="s">
        <v>246</v>
      </c>
      <c r="C1" s="13" t="s">
        <v>247</v>
      </c>
      <c r="D1" s="13" t="s">
        <v>248</v>
      </c>
      <c r="E1" s="13" t="s">
        <v>249</v>
      </c>
      <c r="F1" s="13"/>
      <c r="P1" t="s">
        <v>262</v>
      </c>
    </row>
    <row r="2" spans="1:16" x14ac:dyDescent="0.25">
      <c r="A2" t="s">
        <v>263</v>
      </c>
      <c r="B2" t="s">
        <v>264</v>
      </c>
      <c r="C2">
        <v>21</v>
      </c>
      <c r="E2" t="s">
        <v>265</v>
      </c>
      <c r="N2">
        <v>18</v>
      </c>
      <c r="P2" t="s">
        <v>259</v>
      </c>
    </row>
    <row r="3" spans="1:16" x14ac:dyDescent="0.25">
      <c r="A3" t="s">
        <v>266</v>
      </c>
      <c r="B3" t="s">
        <v>267</v>
      </c>
      <c r="C3">
        <v>24</v>
      </c>
      <c r="E3" t="s">
        <v>268</v>
      </c>
      <c r="N3">
        <v>19</v>
      </c>
      <c r="P3" t="s">
        <v>260</v>
      </c>
    </row>
    <row r="4" spans="1:16" x14ac:dyDescent="0.25">
      <c r="N4">
        <v>20</v>
      </c>
      <c r="P4" t="s">
        <v>261</v>
      </c>
    </row>
    <row r="5" spans="1:16" x14ac:dyDescent="0.25">
      <c r="N5">
        <v>21</v>
      </c>
    </row>
    <row r="6" spans="1:16" x14ac:dyDescent="0.25">
      <c r="N6">
        <v>22</v>
      </c>
    </row>
    <row r="7" spans="1:16" x14ac:dyDescent="0.25">
      <c r="N7">
        <v>23</v>
      </c>
    </row>
    <row r="8" spans="1:16" x14ac:dyDescent="0.25">
      <c r="N8">
        <v>24</v>
      </c>
    </row>
    <row r="9" spans="1:16" x14ac:dyDescent="0.25">
      <c r="N9">
        <v>25</v>
      </c>
    </row>
    <row r="10" spans="1:16" x14ac:dyDescent="0.25">
      <c r="N10">
        <v>26</v>
      </c>
    </row>
    <row r="11" spans="1:16" x14ac:dyDescent="0.25">
      <c r="N11">
        <v>27</v>
      </c>
    </row>
    <row r="12" spans="1:16" x14ac:dyDescent="0.25">
      <c r="N12">
        <v>28</v>
      </c>
    </row>
    <row r="13" spans="1:16" x14ac:dyDescent="0.25">
      <c r="N13">
        <v>29</v>
      </c>
    </row>
    <row r="14" spans="1:16" x14ac:dyDescent="0.25">
      <c r="N14">
        <v>30</v>
      </c>
    </row>
    <row r="15" spans="1:16" x14ac:dyDescent="0.25">
      <c r="N15">
        <v>31</v>
      </c>
    </row>
    <row r="16" spans="1:16" x14ac:dyDescent="0.25">
      <c r="N16">
        <v>32</v>
      </c>
    </row>
    <row r="17" spans="14:14" x14ac:dyDescent="0.25">
      <c r="N17">
        <v>33</v>
      </c>
    </row>
    <row r="18" spans="14:14" x14ac:dyDescent="0.25">
      <c r="N18">
        <v>34</v>
      </c>
    </row>
    <row r="19" spans="14:14" x14ac:dyDescent="0.25">
      <c r="N19">
        <v>35</v>
      </c>
    </row>
    <row r="20" spans="14:14" x14ac:dyDescent="0.25">
      <c r="N20">
        <v>36</v>
      </c>
    </row>
    <row r="21" spans="14:14" x14ac:dyDescent="0.25">
      <c r="N21">
        <v>37</v>
      </c>
    </row>
    <row r="22" spans="14:14" x14ac:dyDescent="0.25">
      <c r="N22">
        <v>38</v>
      </c>
    </row>
    <row r="23" spans="14:14" x14ac:dyDescent="0.25">
      <c r="N23">
        <v>39</v>
      </c>
    </row>
    <row r="24" spans="14:14" x14ac:dyDescent="0.25">
      <c r="N24">
        <v>40</v>
      </c>
    </row>
    <row r="25" spans="14:14" x14ac:dyDescent="0.25">
      <c r="N25">
        <v>41</v>
      </c>
    </row>
    <row r="26" spans="14:14" x14ac:dyDescent="0.25">
      <c r="N26">
        <v>42</v>
      </c>
    </row>
    <row r="27" spans="14:14" x14ac:dyDescent="0.25">
      <c r="N27">
        <v>43</v>
      </c>
    </row>
    <row r="28" spans="14:14" x14ac:dyDescent="0.25">
      <c r="N28">
        <v>44</v>
      </c>
    </row>
    <row r="29" spans="14:14" x14ac:dyDescent="0.25">
      <c r="N29">
        <v>45</v>
      </c>
    </row>
    <row r="30" spans="14:14" x14ac:dyDescent="0.25">
      <c r="N30">
        <v>46</v>
      </c>
    </row>
    <row r="31" spans="14:14" x14ac:dyDescent="0.25">
      <c r="N31">
        <v>47</v>
      </c>
    </row>
    <row r="32" spans="14:14" x14ac:dyDescent="0.25">
      <c r="N32">
        <v>48</v>
      </c>
    </row>
    <row r="33" spans="14:14" x14ac:dyDescent="0.25">
      <c r="N33">
        <v>49</v>
      </c>
    </row>
    <row r="34" spans="14:14" x14ac:dyDescent="0.25">
      <c r="N34">
        <v>50</v>
      </c>
    </row>
    <row r="35" spans="14:14" x14ac:dyDescent="0.25">
      <c r="N35">
        <v>51</v>
      </c>
    </row>
    <row r="36" spans="14:14" x14ac:dyDescent="0.25">
      <c r="N36">
        <v>52</v>
      </c>
    </row>
    <row r="37" spans="14:14" x14ac:dyDescent="0.25">
      <c r="N37">
        <v>53</v>
      </c>
    </row>
    <row r="38" spans="14:14" x14ac:dyDescent="0.25">
      <c r="N38">
        <v>54</v>
      </c>
    </row>
    <row r="39" spans="14:14" x14ac:dyDescent="0.25">
      <c r="N39">
        <v>55</v>
      </c>
    </row>
    <row r="40" spans="14:14" x14ac:dyDescent="0.25">
      <c r="N40">
        <v>56</v>
      </c>
    </row>
    <row r="41" spans="14:14" x14ac:dyDescent="0.25">
      <c r="N41">
        <v>57</v>
      </c>
    </row>
    <row r="42" spans="14:14" x14ac:dyDescent="0.25">
      <c r="N42">
        <v>58</v>
      </c>
    </row>
    <row r="43" spans="14:14" x14ac:dyDescent="0.25">
      <c r="N43">
        <v>59</v>
      </c>
    </row>
    <row r="44" spans="14:14" x14ac:dyDescent="0.25">
      <c r="N44">
        <v>60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</vt:i4>
      </vt:variant>
    </vt:vector>
  </HeadingPairs>
  <TitlesOfParts>
    <vt:vector size="26" baseType="lpstr">
      <vt:lpstr>Sheet1</vt:lpstr>
      <vt:lpstr>INFO</vt:lpstr>
      <vt:lpstr>Sheet3</vt:lpstr>
      <vt:lpstr>Sheet2</vt:lpstr>
      <vt:lpstr>JAN</vt:lpstr>
      <vt:lpstr>FEB</vt:lpstr>
      <vt:lpstr>MAR</vt:lpstr>
      <vt:lpstr>CONSOL</vt:lpstr>
      <vt:lpstr>LOOP</vt:lpstr>
      <vt:lpstr>LOOP1</vt:lpstr>
      <vt:lpstr>IFLOOP</vt:lpstr>
      <vt:lpstr>DOWHILE</vt:lpstr>
      <vt:lpstr>IF DO WHILE</vt:lpstr>
      <vt:lpstr>FOR_NEXT_LOOP</vt:lpstr>
      <vt:lpstr>FOR_NEXT_IF</vt:lpstr>
      <vt:lpstr>NESTED_IF_FOENEXT</vt:lpstr>
      <vt:lpstr>FOR_EACH_NEXT</vt:lpstr>
      <vt:lpstr>LIST</vt:lpstr>
      <vt:lpstr>REPLACENAME</vt:lpstr>
      <vt:lpstr>FORMULA</vt:lpstr>
      <vt:lpstr>VLOOKUP</vt:lpstr>
      <vt:lpstr>UDF</vt:lpstr>
      <vt:lpstr>Dashboard</vt:lpstr>
      <vt:lpstr>DATAENTRY</vt:lpstr>
      <vt:lpstr>AGGE</vt:lpstr>
      <vt:lpstr>CITI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2020-04-01T09:48:23Z</dcterms:modified>
</cp:coreProperties>
</file>